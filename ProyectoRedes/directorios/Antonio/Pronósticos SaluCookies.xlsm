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blo\Desktop\"/>
    </mc:Choice>
  </mc:AlternateContent>
  <bookViews>
    <workbookView minimized="1" xWindow="0" yWindow="0" windowWidth="20490" windowHeight="7755" firstSheet="11" activeTab="15"/>
  </bookViews>
  <sheets>
    <sheet name="Mapa conceptual." sheetId="1" r:id="rId1"/>
    <sheet name="Inversión  Inicial" sheetId="2" r:id="rId2"/>
    <sheet name="Planillas " sheetId="3" r:id="rId3"/>
    <sheet name="Costos fijos" sheetId="4" r:id="rId4"/>
    <sheet name="Proyección de gastos" sheetId="5" r:id="rId5"/>
    <sheet name="Costos variables de producción" sheetId="6" r:id="rId6"/>
    <sheet name="Proyección de ventas" sheetId="7" r:id="rId7"/>
    <sheet name="Flujo de efectivo año 1 " sheetId="8" r:id="rId8"/>
    <sheet name="Flujo de efectivo año 2" sheetId="9" r:id="rId9"/>
    <sheet name="Flujo de efectivo año 3" sheetId="10" r:id="rId10"/>
    <sheet name="Estados de Resultados " sheetId="11" r:id="rId11"/>
    <sheet name="VAN y TIR" sheetId="12" r:id="rId12"/>
    <sheet name="Amortizaciones " sheetId="13" r:id="rId13"/>
    <sheet name="Depreciaciones " sheetId="14" r:id="rId14"/>
    <sheet name="Red de Proveedores" sheetId="15" r:id="rId15"/>
    <sheet name="Pedidos " sheetId="16" r:id="rId16"/>
  </sheets>
  <calcPr calcId="152511"/>
  <extLst>
    <ext uri="GoogleSheetsCustomDataVersion1">
      <go:sheetsCustomData xmlns:go="http://customooxmlschemas.google.com/" r:id="rId18" roundtripDataSignature="AMtx7mgoO307miH+hFKlj3k3QUepc4QSzQ=="/>
    </ext>
  </extLst>
</workbook>
</file>

<file path=xl/calcChain.xml><?xml version="1.0" encoding="utf-8"?>
<calcChain xmlns="http://schemas.openxmlformats.org/spreadsheetml/2006/main">
  <c r="B16" i="14" l="1"/>
  <c r="E16" i="14" s="1"/>
  <c r="E15" i="14"/>
  <c r="B15" i="14"/>
  <c r="B14" i="14"/>
  <c r="E14" i="14" s="1"/>
  <c r="E13" i="14"/>
  <c r="B13" i="14"/>
  <c r="B12" i="14"/>
  <c r="E12" i="14" s="1"/>
  <c r="E11" i="14"/>
  <c r="B11" i="14"/>
  <c r="B10" i="14"/>
  <c r="E10" i="14" s="1"/>
  <c r="F55" i="13"/>
  <c r="F54" i="13"/>
  <c r="F47" i="13"/>
  <c r="F46" i="13"/>
  <c r="F39" i="13"/>
  <c r="F38" i="13"/>
  <c r="F27" i="13"/>
  <c r="F26" i="13"/>
  <c r="F25" i="13"/>
  <c r="F23" i="13"/>
  <c r="F22" i="13"/>
  <c r="F21" i="13"/>
  <c r="F11" i="13"/>
  <c r="F10" i="13"/>
  <c r="F9" i="13"/>
  <c r="F7" i="13"/>
  <c r="F6" i="13"/>
  <c r="F5" i="13"/>
  <c r="J2" i="13"/>
  <c r="F59" i="13" s="1"/>
  <c r="F2" i="13"/>
  <c r="E2" i="13" s="1"/>
  <c r="G2" i="13" s="1"/>
  <c r="B3" i="13" s="1"/>
  <c r="D2" i="13"/>
  <c r="N40" i="10"/>
  <c r="N22" i="10"/>
  <c r="N21" i="10"/>
  <c r="N20" i="10"/>
  <c r="N6" i="10"/>
  <c r="N5" i="10"/>
  <c r="N4" i="10"/>
  <c r="N40" i="9"/>
  <c r="N37" i="9"/>
  <c r="N22" i="9"/>
  <c r="N21" i="9"/>
  <c r="N20" i="9"/>
  <c r="N14" i="9"/>
  <c r="N13" i="9"/>
  <c r="N6" i="9"/>
  <c r="N5" i="9"/>
  <c r="N4" i="9"/>
  <c r="B58" i="8"/>
  <c r="N58" i="8" s="1"/>
  <c r="N57" i="8"/>
  <c r="B57" i="8"/>
  <c r="B56" i="8"/>
  <c r="N56" i="8" s="1"/>
  <c r="N55" i="8"/>
  <c r="B55" i="8"/>
  <c r="B54" i="8"/>
  <c r="N54" i="8" s="1"/>
  <c r="N53" i="8"/>
  <c r="B53" i="8"/>
  <c r="B52" i="8"/>
  <c r="N52" i="8" s="1"/>
  <c r="B48" i="8"/>
  <c r="N48" i="8" s="1"/>
  <c r="N43" i="8"/>
  <c r="N42" i="8"/>
  <c r="B40" i="8"/>
  <c r="N39" i="8"/>
  <c r="I36" i="8"/>
  <c r="K34" i="8"/>
  <c r="C34" i="8"/>
  <c r="N26" i="8"/>
  <c r="F26" i="8" s="1"/>
  <c r="B24" i="8"/>
  <c r="N24" i="8" s="1"/>
  <c r="N23" i="8"/>
  <c r="B23" i="8"/>
  <c r="B22" i="8"/>
  <c r="N22" i="8" s="1"/>
  <c r="N21" i="8"/>
  <c r="B21" i="8"/>
  <c r="N20" i="8"/>
  <c r="N14" i="8"/>
  <c r="N13" i="8"/>
  <c r="N6" i="8"/>
  <c r="N5" i="8"/>
  <c r="N4" i="8"/>
  <c r="C14" i="7"/>
  <c r="C13" i="7"/>
  <c r="J3" i="7" s="1"/>
  <c r="C10" i="7"/>
  <c r="I3" i="7" s="1"/>
  <c r="I4" i="7" s="1"/>
  <c r="I5" i="7" s="1"/>
  <c r="I6" i="7" s="1"/>
  <c r="C9" i="7"/>
  <c r="C8" i="7"/>
  <c r="C5" i="7"/>
  <c r="C4" i="7"/>
  <c r="C3" i="7"/>
  <c r="B28" i="6"/>
  <c r="B27" i="6"/>
  <c r="F22" i="6"/>
  <c r="F20" i="6"/>
  <c r="B15" i="6"/>
  <c r="B13" i="6"/>
  <c r="E12" i="6"/>
  <c r="B11" i="6"/>
  <c r="B14" i="6"/>
  <c r="F18" i="5"/>
  <c r="G18" i="5" s="1"/>
  <c r="F17" i="5"/>
  <c r="N34" i="8" s="1"/>
  <c r="G34" i="8" s="1"/>
  <c r="F14" i="5"/>
  <c r="F9" i="5"/>
  <c r="G9" i="5" s="1"/>
  <c r="B7" i="5"/>
  <c r="B8" i="5" s="1"/>
  <c r="B6" i="5"/>
  <c r="C24" i="4"/>
  <c r="C23" i="4"/>
  <c r="F13" i="4"/>
  <c r="F10" i="5" s="1"/>
  <c r="C13" i="4"/>
  <c r="F11" i="5" s="1"/>
  <c r="N28" i="8" s="1"/>
  <c r="F12" i="4"/>
  <c r="F20" i="5" s="1"/>
  <c r="C12" i="4"/>
  <c r="F19" i="5" s="1"/>
  <c r="N36" i="8" s="1"/>
  <c r="C11" i="4"/>
  <c r="C10" i="4"/>
  <c r="C9" i="4"/>
  <c r="F16" i="5" s="1"/>
  <c r="C8" i="4"/>
  <c r="F12" i="5" s="1"/>
  <c r="C6" i="4"/>
  <c r="F21" i="5" s="1"/>
  <c r="C5" i="4"/>
  <c r="B3" i="4"/>
  <c r="F38" i="3"/>
  <c r="E38" i="3"/>
  <c r="D38" i="3"/>
  <c r="C38" i="3"/>
  <c r="G38" i="3" s="1"/>
  <c r="F37" i="3"/>
  <c r="G37" i="3" s="1"/>
  <c r="E37" i="3"/>
  <c r="D37" i="3"/>
  <c r="C37" i="3"/>
  <c r="F36" i="3"/>
  <c r="G36" i="3" s="1"/>
  <c r="E36" i="3"/>
  <c r="D36" i="3"/>
  <c r="C36" i="3"/>
  <c r="F35" i="3"/>
  <c r="G35" i="3" s="1"/>
  <c r="E35" i="3"/>
  <c r="D35" i="3"/>
  <c r="C35" i="3"/>
  <c r="F34" i="3"/>
  <c r="E34" i="3"/>
  <c r="D34" i="3"/>
  <c r="C34" i="3"/>
  <c r="G34" i="3" s="1"/>
  <c r="F33" i="3"/>
  <c r="E33" i="3"/>
  <c r="D33" i="3"/>
  <c r="C33" i="3"/>
  <c r="F32" i="3"/>
  <c r="E32" i="3"/>
  <c r="D32" i="3"/>
  <c r="C32" i="3"/>
  <c r="F31" i="3"/>
  <c r="G31" i="3" s="1"/>
  <c r="E31" i="3"/>
  <c r="D31" i="3"/>
  <c r="C31" i="3"/>
  <c r="F30" i="3"/>
  <c r="E30" i="3"/>
  <c r="D30" i="3"/>
  <c r="C30" i="3"/>
  <c r="G30" i="3" s="1"/>
  <c r="F29" i="3"/>
  <c r="E29" i="3"/>
  <c r="D29" i="3"/>
  <c r="C29" i="3"/>
  <c r="F28" i="3"/>
  <c r="E28" i="3"/>
  <c r="D28" i="3"/>
  <c r="C28" i="3"/>
  <c r="F27" i="3"/>
  <c r="G27" i="3" s="1"/>
  <c r="E27" i="3"/>
  <c r="D27" i="3"/>
  <c r="C27" i="3"/>
  <c r="F26" i="3"/>
  <c r="E26" i="3"/>
  <c r="D26" i="3"/>
  <c r="C26" i="3"/>
  <c r="G26" i="3" s="1"/>
  <c r="F25" i="3"/>
  <c r="G25" i="3" s="1"/>
  <c r="E25" i="3"/>
  <c r="D25" i="3"/>
  <c r="C25" i="3"/>
  <c r="F24" i="3"/>
  <c r="E24" i="3"/>
  <c r="D24" i="3"/>
  <c r="C24" i="3"/>
  <c r="F23" i="3"/>
  <c r="G23" i="3" s="1"/>
  <c r="E23" i="3"/>
  <c r="D23" i="3"/>
  <c r="C23" i="3"/>
  <c r="F22" i="3"/>
  <c r="E22" i="3"/>
  <c r="D22" i="3"/>
  <c r="C22" i="3"/>
  <c r="G22" i="3" s="1"/>
  <c r="B19" i="3"/>
  <c r="E18" i="3"/>
  <c r="F18" i="3" s="1"/>
  <c r="H18" i="3" s="1"/>
  <c r="D18" i="3"/>
  <c r="C18" i="3"/>
  <c r="F17" i="3"/>
  <c r="H17" i="3" s="1"/>
  <c r="E17" i="3"/>
  <c r="D17" i="3"/>
  <c r="C17" i="3"/>
  <c r="H16" i="3"/>
  <c r="E16" i="3"/>
  <c r="D16" i="3"/>
  <c r="C16" i="3"/>
  <c r="F16" i="3" s="1"/>
  <c r="E15" i="3"/>
  <c r="D15" i="3"/>
  <c r="C15" i="3"/>
  <c r="F15" i="3" s="1"/>
  <c r="H15" i="3" s="1"/>
  <c r="E14" i="3"/>
  <c r="F14" i="3" s="1"/>
  <c r="H14" i="3" s="1"/>
  <c r="D14" i="3"/>
  <c r="C14" i="3"/>
  <c r="F13" i="3"/>
  <c r="H13" i="3" s="1"/>
  <c r="E13" i="3"/>
  <c r="D13" i="3"/>
  <c r="C13" i="3"/>
  <c r="H12" i="3"/>
  <c r="E12" i="3"/>
  <c r="D12" i="3"/>
  <c r="C12" i="3"/>
  <c r="F12" i="3" s="1"/>
  <c r="E11" i="3"/>
  <c r="D11" i="3"/>
  <c r="C11" i="3"/>
  <c r="F11" i="3" s="1"/>
  <c r="H11" i="3" s="1"/>
  <c r="E10" i="3"/>
  <c r="F10" i="3" s="1"/>
  <c r="H10" i="3" s="1"/>
  <c r="D10" i="3"/>
  <c r="C10" i="3"/>
  <c r="F9" i="3"/>
  <c r="H9" i="3" s="1"/>
  <c r="E9" i="3"/>
  <c r="D9" i="3"/>
  <c r="C9" i="3"/>
  <c r="H8" i="3"/>
  <c r="E8" i="3"/>
  <c r="D8" i="3"/>
  <c r="C8" i="3"/>
  <c r="F8" i="3" s="1"/>
  <c r="E7" i="3"/>
  <c r="D7" i="3"/>
  <c r="C7" i="3"/>
  <c r="F7" i="3" s="1"/>
  <c r="H7" i="3" s="1"/>
  <c r="E6" i="3"/>
  <c r="F6" i="3" s="1"/>
  <c r="H6" i="3" s="1"/>
  <c r="D6" i="3"/>
  <c r="C6" i="3"/>
  <c r="F5" i="3"/>
  <c r="H5" i="3" s="1"/>
  <c r="E5" i="3"/>
  <c r="D5" i="3"/>
  <c r="C5" i="3"/>
  <c r="H4" i="3"/>
  <c r="E4" i="3"/>
  <c r="D4" i="3"/>
  <c r="C4" i="3"/>
  <c r="F4" i="3" s="1"/>
  <c r="E3" i="3"/>
  <c r="D3" i="3"/>
  <c r="C3" i="3"/>
  <c r="F3" i="3" s="1"/>
  <c r="H3" i="3" s="1"/>
  <c r="E2" i="3"/>
  <c r="F2" i="3" s="1"/>
  <c r="H2" i="3" s="1"/>
  <c r="D2" i="3"/>
  <c r="C2" i="3"/>
  <c r="C26" i="2"/>
  <c r="B20" i="2"/>
  <c r="C19" i="2"/>
  <c r="B18" i="14" s="1"/>
  <c r="E18" i="14" s="1"/>
  <c r="C18" i="2"/>
  <c r="C10" i="2"/>
  <c r="C9" i="2"/>
  <c r="B8" i="14" s="1"/>
  <c r="E8" i="14" s="1"/>
  <c r="C8" i="2"/>
  <c r="C7" i="2"/>
  <c r="B6" i="14" s="1"/>
  <c r="E6" i="14" s="1"/>
  <c r="C6" i="2"/>
  <c r="C5" i="2"/>
  <c r="B4" i="14" s="1"/>
  <c r="E4" i="14" s="1"/>
  <c r="C4" i="2"/>
  <c r="C3" i="2"/>
  <c r="G3" i="7" l="1"/>
  <c r="G4" i="7" s="1"/>
  <c r="G5" i="7" s="1"/>
  <c r="F3" i="7"/>
  <c r="H3" i="7"/>
  <c r="H4" i="7" s="1"/>
  <c r="H5" i="7" s="1"/>
  <c r="H6" i="7" s="1"/>
  <c r="G10" i="5"/>
  <c r="N27" i="8"/>
  <c r="I7" i="7"/>
  <c r="N29" i="8"/>
  <c r="G12" i="5"/>
  <c r="C16" i="8"/>
  <c r="B26" i="8"/>
  <c r="L28" i="8"/>
  <c r="H28" i="8"/>
  <c r="D28" i="8"/>
  <c r="K28" i="8"/>
  <c r="G28" i="8"/>
  <c r="C28" i="8"/>
  <c r="F28" i="8"/>
  <c r="J28" i="8"/>
  <c r="M28" i="8"/>
  <c r="E28" i="8"/>
  <c r="B28" i="8"/>
  <c r="G11" i="5"/>
  <c r="G24" i="3"/>
  <c r="G39" i="3" s="1"/>
  <c r="N33" i="8"/>
  <c r="G16" i="5"/>
  <c r="G28" i="3"/>
  <c r="G29" i="3"/>
  <c r="N38" i="8"/>
  <c r="G21" i="5"/>
  <c r="L36" i="8"/>
  <c r="H36" i="8"/>
  <c r="D36" i="8"/>
  <c r="K36" i="8"/>
  <c r="G36" i="8"/>
  <c r="C36" i="8"/>
  <c r="F36" i="8"/>
  <c r="B36" i="8"/>
  <c r="M36" i="8"/>
  <c r="E36" i="8"/>
  <c r="J36" i="8"/>
  <c r="N24" i="9"/>
  <c r="H9" i="5"/>
  <c r="N24" i="10" s="1"/>
  <c r="N31" i="8"/>
  <c r="G14" i="5"/>
  <c r="N33" i="9"/>
  <c r="H18" i="5"/>
  <c r="N33" i="10" s="1"/>
  <c r="J4" i="7"/>
  <c r="M26" i="8"/>
  <c r="I26" i="8"/>
  <c r="E26" i="8"/>
  <c r="K26" i="8"/>
  <c r="C26" i="8"/>
  <c r="L26" i="8"/>
  <c r="H26" i="8"/>
  <c r="D26" i="8"/>
  <c r="G26" i="8"/>
  <c r="B2" i="14"/>
  <c r="E2" i="14" s="1"/>
  <c r="C20" i="2"/>
  <c r="C27" i="2" s="1"/>
  <c r="B17" i="14"/>
  <c r="E17" i="14" s="1"/>
  <c r="B59" i="8"/>
  <c r="N59" i="8" s="1"/>
  <c r="G32" i="3"/>
  <c r="G33" i="3"/>
  <c r="N37" i="8"/>
  <c r="G20" i="5"/>
  <c r="G19" i="5"/>
  <c r="C25" i="4"/>
  <c r="E15" i="6"/>
  <c r="E13" i="6"/>
  <c r="E22" i="6" s="1"/>
  <c r="E11" i="6"/>
  <c r="E14" i="6"/>
  <c r="F24" i="6"/>
  <c r="B19" i="8" s="1"/>
  <c r="F4" i="7"/>
  <c r="B15" i="8"/>
  <c r="J26" i="8"/>
  <c r="I28" i="8"/>
  <c r="N35" i="8"/>
  <c r="B44" i="8"/>
  <c r="N44" i="8" s="1"/>
  <c r="D34" i="8"/>
  <c r="G17" i="5"/>
  <c r="F21" i="6"/>
  <c r="B17" i="8" s="1"/>
  <c r="F23" i="6"/>
  <c r="B18" i="8" s="1"/>
  <c r="B26" i="6"/>
  <c r="B30" i="6"/>
  <c r="B16" i="8"/>
  <c r="B46" i="8"/>
  <c r="N46" i="8" s="1"/>
  <c r="B50" i="8"/>
  <c r="N50" i="8" s="1"/>
  <c r="B3" i="14"/>
  <c r="E3" i="14" s="1"/>
  <c r="B45" i="8"/>
  <c r="N45" i="8" s="1"/>
  <c r="B7" i="14"/>
  <c r="E7" i="14" s="1"/>
  <c r="B49" i="8"/>
  <c r="N49" i="8" s="1"/>
  <c r="J34" i="8"/>
  <c r="F34" i="8"/>
  <c r="B34" i="8"/>
  <c r="M34" i="8"/>
  <c r="I34" i="8"/>
  <c r="E34" i="8"/>
  <c r="B29" i="6"/>
  <c r="L34" i="8"/>
  <c r="B5" i="14"/>
  <c r="E5" i="14" s="1"/>
  <c r="B47" i="8"/>
  <c r="N47" i="8" s="1"/>
  <c r="B9" i="14"/>
  <c r="E9" i="14" s="1"/>
  <c r="B51" i="8"/>
  <c r="N51" i="8" s="1"/>
  <c r="C3" i="4"/>
  <c r="B12" i="6"/>
  <c r="E21" i="6" s="1"/>
  <c r="H34" i="8"/>
  <c r="B60" i="8"/>
  <c r="N60" i="8" s="1"/>
  <c r="D3" i="13"/>
  <c r="C40" i="8" s="1"/>
  <c r="F3" i="13"/>
  <c r="F17" i="13"/>
  <c r="F18" i="13"/>
  <c r="F19" i="13"/>
  <c r="F35" i="13"/>
  <c r="F43" i="13"/>
  <c r="F51" i="13"/>
  <c r="F61" i="13"/>
  <c r="F57" i="13"/>
  <c r="F53" i="13"/>
  <c r="F49" i="13"/>
  <c r="F45" i="13"/>
  <c r="F41" i="13"/>
  <c r="F37" i="13"/>
  <c r="F33" i="13"/>
  <c r="F60" i="13"/>
  <c r="F56" i="13"/>
  <c r="F52" i="13"/>
  <c r="F48" i="13"/>
  <c r="F44" i="13"/>
  <c r="F40" i="13"/>
  <c r="F36" i="13"/>
  <c r="F32" i="13"/>
  <c r="F28" i="13"/>
  <c r="F24" i="13"/>
  <c r="F20" i="13"/>
  <c r="F16" i="13"/>
  <c r="F12" i="13"/>
  <c r="F8" i="13"/>
  <c r="F4" i="13"/>
  <c r="F13" i="13"/>
  <c r="F14" i="13"/>
  <c r="F15" i="13"/>
  <c r="F29" i="13"/>
  <c r="F30" i="13"/>
  <c r="F31" i="13"/>
  <c r="F34" i="13"/>
  <c r="F42" i="13"/>
  <c r="F50" i="13"/>
  <c r="F58" i="13"/>
  <c r="E20" i="6" l="1"/>
  <c r="B7" i="8" s="1"/>
  <c r="C18" i="8"/>
  <c r="C17" i="8"/>
  <c r="E18" i="8"/>
  <c r="D18" i="8"/>
  <c r="C8" i="8"/>
  <c r="E24" i="6"/>
  <c r="B11" i="8" s="1"/>
  <c r="E23" i="6"/>
  <c r="D10" i="8" s="1"/>
  <c r="D9" i="8"/>
  <c r="B9" i="8"/>
  <c r="F15" i="5"/>
  <c r="B4" i="4"/>
  <c r="M35" i="8"/>
  <c r="I35" i="8"/>
  <c r="E35" i="8"/>
  <c r="L35" i="8"/>
  <c r="H35" i="8"/>
  <c r="D35" i="8"/>
  <c r="K35" i="8"/>
  <c r="C35" i="8"/>
  <c r="J35" i="8"/>
  <c r="B35" i="8"/>
  <c r="G35" i="8"/>
  <c r="F35" i="8"/>
  <c r="N27" i="9"/>
  <c r="H12" i="5"/>
  <c r="N27" i="10" s="1"/>
  <c r="H19" i="5"/>
  <c r="N34" i="10" s="1"/>
  <c r="N34" i="9"/>
  <c r="E17" i="8"/>
  <c r="E9" i="8"/>
  <c r="H7" i="7"/>
  <c r="C19" i="8"/>
  <c r="J5" i="7"/>
  <c r="M31" i="8"/>
  <c r="I31" i="8"/>
  <c r="E31" i="8"/>
  <c r="L31" i="8"/>
  <c r="H31" i="8"/>
  <c r="D31" i="8"/>
  <c r="G31" i="8"/>
  <c r="C31" i="8"/>
  <c r="F31" i="8"/>
  <c r="K31" i="8"/>
  <c r="B31" i="8"/>
  <c r="J31" i="8"/>
  <c r="G6" i="7"/>
  <c r="D16" i="8"/>
  <c r="D8" i="8"/>
  <c r="K29" i="8"/>
  <c r="G29" i="8"/>
  <c r="C29" i="8"/>
  <c r="J29" i="8"/>
  <c r="F29" i="8"/>
  <c r="B29" i="8"/>
  <c r="I29" i="8"/>
  <c r="M29" i="8"/>
  <c r="H29" i="8"/>
  <c r="E29" i="8"/>
  <c r="D29" i="8"/>
  <c r="L29" i="8"/>
  <c r="C15" i="8"/>
  <c r="C7" i="8"/>
  <c r="F5" i="7"/>
  <c r="N29" i="9"/>
  <c r="H14" i="5"/>
  <c r="N29" i="10" s="1"/>
  <c r="J38" i="8"/>
  <c r="F38" i="8"/>
  <c r="B38" i="8"/>
  <c r="M38" i="8"/>
  <c r="I38" i="8"/>
  <c r="E38" i="8"/>
  <c r="L38" i="8"/>
  <c r="D38" i="8"/>
  <c r="K38" i="8"/>
  <c r="C38" i="8"/>
  <c r="H38" i="8"/>
  <c r="G38" i="8"/>
  <c r="E3" i="13"/>
  <c r="B8" i="8"/>
  <c r="N35" i="9"/>
  <c r="H20" i="5"/>
  <c r="N35" i="10" s="1"/>
  <c r="C9" i="8"/>
  <c r="M33" i="10"/>
  <c r="I33" i="10"/>
  <c r="E33" i="10"/>
  <c r="L33" i="10"/>
  <c r="H33" i="10"/>
  <c r="D33" i="10"/>
  <c r="G33" i="10"/>
  <c r="F33" i="10"/>
  <c r="C33" i="10"/>
  <c r="B33" i="10"/>
  <c r="K33" i="10"/>
  <c r="J33" i="10"/>
  <c r="M24" i="10"/>
  <c r="I24" i="10"/>
  <c r="E24" i="10"/>
  <c r="J24" i="10"/>
  <c r="D24" i="10"/>
  <c r="H24" i="10"/>
  <c r="C24" i="10"/>
  <c r="L24" i="10"/>
  <c r="B24" i="10"/>
  <c r="K24" i="10"/>
  <c r="F24" i="10"/>
  <c r="G24" i="10"/>
  <c r="N31" i="9"/>
  <c r="H16" i="5"/>
  <c r="N31" i="10" s="1"/>
  <c r="H11" i="5"/>
  <c r="N26" i="10" s="1"/>
  <c r="N26" i="9"/>
  <c r="I8" i="7"/>
  <c r="F18" i="8"/>
  <c r="M27" i="8"/>
  <c r="I27" i="8"/>
  <c r="L27" i="8"/>
  <c r="H27" i="8"/>
  <c r="D27" i="8"/>
  <c r="K27" i="8"/>
  <c r="E27" i="8"/>
  <c r="G27" i="8"/>
  <c r="J27" i="8"/>
  <c r="C27" i="8"/>
  <c r="B27" i="8"/>
  <c r="F27" i="8"/>
  <c r="F8" i="5"/>
  <c r="C17" i="4"/>
  <c r="B22" i="4" s="1"/>
  <c r="N32" i="9"/>
  <c r="H17" i="5"/>
  <c r="N32" i="10" s="1"/>
  <c r="K37" i="8"/>
  <c r="G37" i="8"/>
  <c r="C37" i="8"/>
  <c r="J37" i="8"/>
  <c r="F37" i="8"/>
  <c r="B37" i="8"/>
  <c r="I37" i="8"/>
  <c r="E37" i="8"/>
  <c r="H37" i="8"/>
  <c r="M37" i="8"/>
  <c r="L37" i="8"/>
  <c r="D37" i="8"/>
  <c r="E19" i="14"/>
  <c r="D17" i="8"/>
  <c r="M33" i="9"/>
  <c r="I33" i="9"/>
  <c r="E33" i="9"/>
  <c r="L33" i="9"/>
  <c r="H33" i="9"/>
  <c r="D33" i="9"/>
  <c r="G33" i="9"/>
  <c r="F33" i="9"/>
  <c r="B33" i="9"/>
  <c r="K33" i="9"/>
  <c r="J33" i="9"/>
  <c r="C33" i="9"/>
  <c r="J24" i="9"/>
  <c r="F24" i="9"/>
  <c r="B24" i="9"/>
  <c r="M24" i="9"/>
  <c r="I24" i="9"/>
  <c r="E24" i="9"/>
  <c r="L24" i="9"/>
  <c r="D24" i="9"/>
  <c r="K24" i="9"/>
  <c r="C24" i="9"/>
  <c r="G24" i="9"/>
  <c r="H24" i="9"/>
  <c r="N36" i="9"/>
  <c r="H21" i="5"/>
  <c r="N36" i="10" s="1"/>
  <c r="K33" i="8"/>
  <c r="G33" i="8"/>
  <c r="C33" i="8"/>
  <c r="J33" i="8"/>
  <c r="F33" i="8"/>
  <c r="B33" i="8"/>
  <c r="M33" i="8"/>
  <c r="E33" i="8"/>
  <c r="I33" i="8"/>
  <c r="L33" i="8"/>
  <c r="D33" i="8"/>
  <c r="H33" i="8"/>
  <c r="N25" i="9"/>
  <c r="H10" i="5"/>
  <c r="N25" i="10" s="1"/>
  <c r="F10" i="8" l="1"/>
  <c r="C11" i="8"/>
  <c r="E10" i="8"/>
  <c r="B10" i="8"/>
  <c r="B12" i="8" s="1"/>
  <c r="C10" i="8"/>
  <c r="G10" i="8"/>
  <c r="G18" i="8"/>
  <c r="I9" i="7"/>
  <c r="L34" i="9"/>
  <c r="H34" i="9"/>
  <c r="D34" i="9"/>
  <c r="K34" i="9"/>
  <c r="G34" i="9"/>
  <c r="C34" i="9"/>
  <c r="J34" i="9"/>
  <c r="B34" i="9"/>
  <c r="I34" i="9"/>
  <c r="E34" i="9"/>
  <c r="M34" i="9"/>
  <c r="F34" i="9"/>
  <c r="L29" i="10"/>
  <c r="H29" i="10"/>
  <c r="D29" i="10"/>
  <c r="I29" i="10"/>
  <c r="C29" i="10"/>
  <c r="M29" i="10"/>
  <c r="G29" i="10"/>
  <c r="B29" i="10"/>
  <c r="K29" i="10"/>
  <c r="J29" i="10"/>
  <c r="E29" i="10"/>
  <c r="F29" i="10"/>
  <c r="D19" i="8"/>
  <c r="D11" i="8"/>
  <c r="J6" i="7"/>
  <c r="F17" i="8"/>
  <c r="F9" i="8"/>
  <c r="H8" i="7"/>
  <c r="L34" i="10"/>
  <c r="H34" i="10"/>
  <c r="D34" i="10"/>
  <c r="K34" i="10"/>
  <c r="G34" i="10"/>
  <c r="C34" i="10"/>
  <c r="J34" i="10"/>
  <c r="B34" i="10"/>
  <c r="I34" i="10"/>
  <c r="F34" i="10"/>
  <c r="E34" i="10"/>
  <c r="M34" i="10"/>
  <c r="J27" i="10"/>
  <c r="F27" i="10"/>
  <c r="B27" i="10"/>
  <c r="M27" i="10"/>
  <c r="H27" i="10"/>
  <c r="C27" i="10"/>
  <c r="L27" i="10"/>
  <c r="G27" i="10"/>
  <c r="E27" i="10"/>
  <c r="D27" i="10"/>
  <c r="I27" i="10"/>
  <c r="K27" i="10"/>
  <c r="J36" i="9"/>
  <c r="F36" i="9"/>
  <c r="B36" i="9"/>
  <c r="M36" i="9"/>
  <c r="I36" i="9"/>
  <c r="E36" i="9"/>
  <c r="H36" i="9"/>
  <c r="G36" i="9"/>
  <c r="K36" i="9"/>
  <c r="D36" i="9"/>
  <c r="C36" i="9"/>
  <c r="L36" i="9"/>
  <c r="N25" i="8"/>
  <c r="G8" i="5"/>
  <c r="K31" i="9"/>
  <c r="G31" i="9"/>
  <c r="C31" i="9"/>
  <c r="J31" i="9"/>
  <c r="F31" i="9"/>
  <c r="B31" i="9"/>
  <c r="I31" i="9"/>
  <c r="H31" i="9"/>
  <c r="L31" i="9"/>
  <c r="E31" i="9"/>
  <c r="D31" i="9"/>
  <c r="M31" i="9"/>
  <c r="D15" i="8"/>
  <c r="D7" i="8"/>
  <c r="F6" i="7"/>
  <c r="G7" i="7"/>
  <c r="E16" i="8"/>
  <c r="E8" i="8"/>
  <c r="L25" i="10"/>
  <c r="H25" i="10"/>
  <c r="D25" i="10"/>
  <c r="M25" i="10"/>
  <c r="G25" i="10"/>
  <c r="B25" i="10"/>
  <c r="K25" i="10"/>
  <c r="F25" i="10"/>
  <c r="J25" i="10"/>
  <c r="I25" i="10"/>
  <c r="C25" i="10"/>
  <c r="E25" i="10"/>
  <c r="M32" i="10"/>
  <c r="I32" i="10"/>
  <c r="E32" i="10"/>
  <c r="L32" i="10"/>
  <c r="G32" i="10"/>
  <c r="B32" i="10"/>
  <c r="K32" i="10"/>
  <c r="F32" i="10"/>
  <c r="D32" i="10"/>
  <c r="C32" i="10"/>
  <c r="H32" i="10"/>
  <c r="J32" i="10"/>
  <c r="L26" i="9"/>
  <c r="H26" i="9"/>
  <c r="D26" i="9"/>
  <c r="K26" i="9"/>
  <c r="G26" i="9"/>
  <c r="C26" i="9"/>
  <c r="J26" i="9"/>
  <c r="B26" i="9"/>
  <c r="I26" i="9"/>
  <c r="M26" i="9"/>
  <c r="F26" i="9"/>
  <c r="E26" i="9"/>
  <c r="M25" i="9"/>
  <c r="I25" i="9"/>
  <c r="E25" i="9"/>
  <c r="L25" i="9"/>
  <c r="H25" i="9"/>
  <c r="D25" i="9"/>
  <c r="G25" i="9"/>
  <c r="F25" i="9"/>
  <c r="J25" i="9"/>
  <c r="B25" i="9"/>
  <c r="C25" i="9"/>
  <c r="K25" i="9"/>
  <c r="H6" i="11"/>
  <c r="E6" i="11"/>
  <c r="B6" i="11"/>
  <c r="J32" i="9"/>
  <c r="F32" i="9"/>
  <c r="B32" i="9"/>
  <c r="M32" i="9"/>
  <c r="I32" i="9"/>
  <c r="E32" i="9"/>
  <c r="L32" i="9"/>
  <c r="D32" i="9"/>
  <c r="K32" i="9"/>
  <c r="C32" i="9"/>
  <c r="G32" i="9"/>
  <c r="H32" i="9"/>
  <c r="K26" i="10"/>
  <c r="G26" i="10"/>
  <c r="C26" i="10"/>
  <c r="J26" i="10"/>
  <c r="E26" i="10"/>
  <c r="I26" i="10"/>
  <c r="D26" i="10"/>
  <c r="H26" i="10"/>
  <c r="F26" i="10"/>
  <c r="M26" i="10"/>
  <c r="L26" i="10"/>
  <c r="B26" i="10"/>
  <c r="K35" i="10"/>
  <c r="G35" i="10"/>
  <c r="C35" i="10"/>
  <c r="J35" i="10"/>
  <c r="F35" i="10"/>
  <c r="B35" i="10"/>
  <c r="M35" i="10"/>
  <c r="E35" i="10"/>
  <c r="L35" i="10"/>
  <c r="D35" i="10"/>
  <c r="I35" i="10"/>
  <c r="H35" i="10"/>
  <c r="C41" i="8"/>
  <c r="B41" i="8"/>
  <c r="G3" i="13"/>
  <c r="B4" i="13" s="1"/>
  <c r="M29" i="9"/>
  <c r="I29" i="9"/>
  <c r="E29" i="9"/>
  <c r="L29" i="9"/>
  <c r="H29" i="9"/>
  <c r="D29" i="9"/>
  <c r="K29" i="9"/>
  <c r="C29" i="9"/>
  <c r="J29" i="9"/>
  <c r="B29" i="9"/>
  <c r="F29" i="9"/>
  <c r="G29" i="9"/>
  <c r="K27" i="9"/>
  <c r="G27" i="9"/>
  <c r="C27" i="9"/>
  <c r="J27" i="9"/>
  <c r="F27" i="9"/>
  <c r="B27" i="9"/>
  <c r="M27" i="9"/>
  <c r="E27" i="9"/>
  <c r="L27" i="9"/>
  <c r="D27" i="9"/>
  <c r="H27" i="9"/>
  <c r="I27" i="9"/>
  <c r="E14" i="4"/>
  <c r="F14" i="4" s="1"/>
  <c r="F13" i="5" s="1"/>
  <c r="F40" i="5" s="1"/>
  <c r="B17" i="4"/>
  <c r="J36" i="10"/>
  <c r="F36" i="10"/>
  <c r="B36" i="10"/>
  <c r="M36" i="10"/>
  <c r="I36" i="10"/>
  <c r="E36" i="10"/>
  <c r="H36" i="10"/>
  <c r="G36" i="10"/>
  <c r="L36" i="10"/>
  <c r="K36" i="10"/>
  <c r="D36" i="10"/>
  <c r="C36" i="10"/>
  <c r="F23" i="4"/>
  <c r="F24" i="4"/>
  <c r="F25" i="4"/>
  <c r="B25" i="4" s="1"/>
  <c r="J31" i="10"/>
  <c r="F31" i="10"/>
  <c r="B31" i="10"/>
  <c r="I31" i="10"/>
  <c r="D31" i="10"/>
  <c r="M31" i="10"/>
  <c r="H31" i="10"/>
  <c r="C31" i="10"/>
  <c r="G31" i="10"/>
  <c r="E31" i="10"/>
  <c r="K31" i="10"/>
  <c r="L31" i="10"/>
  <c r="K35" i="9"/>
  <c r="G35" i="9"/>
  <c r="C35" i="9"/>
  <c r="J35" i="9"/>
  <c r="F35" i="9"/>
  <c r="B35" i="9"/>
  <c r="M35" i="9"/>
  <c r="E35" i="9"/>
  <c r="L35" i="9"/>
  <c r="D35" i="9"/>
  <c r="H35" i="9"/>
  <c r="I35" i="9"/>
  <c r="N32" i="8"/>
  <c r="G15" i="5"/>
  <c r="F16" i="8" l="1"/>
  <c r="F8" i="8"/>
  <c r="G8" i="7"/>
  <c r="I10" i="7"/>
  <c r="H18" i="8"/>
  <c r="H10" i="8"/>
  <c r="E11" i="4"/>
  <c r="F11" i="4" s="1"/>
  <c r="F26" i="4"/>
  <c r="B23" i="4"/>
  <c r="H9" i="7"/>
  <c r="G17" i="8"/>
  <c r="G9" i="8"/>
  <c r="N30" i="9"/>
  <c r="H15" i="5"/>
  <c r="N30" i="10" s="1"/>
  <c r="E9" i="4"/>
  <c r="F9" i="4" s="1"/>
  <c r="E8" i="4"/>
  <c r="F8" i="4" s="1"/>
  <c r="E10" i="4"/>
  <c r="F10" i="4" s="1"/>
  <c r="B24" i="4"/>
  <c r="N30" i="8"/>
  <c r="G13" i="5"/>
  <c r="F7" i="7"/>
  <c r="E15" i="8"/>
  <c r="E7" i="8"/>
  <c r="N23" i="9"/>
  <c r="H8" i="5"/>
  <c r="D4" i="13"/>
  <c r="J7" i="7"/>
  <c r="E11" i="8"/>
  <c r="E19" i="8"/>
  <c r="L32" i="8"/>
  <c r="H32" i="8"/>
  <c r="D32" i="8"/>
  <c r="K32" i="8"/>
  <c r="G32" i="8"/>
  <c r="C32" i="8"/>
  <c r="J32" i="8"/>
  <c r="B32" i="8"/>
  <c r="F32" i="8"/>
  <c r="I32" i="8"/>
  <c r="M32" i="8"/>
  <c r="E32" i="8"/>
  <c r="J25" i="8"/>
  <c r="F25" i="8"/>
  <c r="B25" i="8"/>
  <c r="H25" i="8"/>
  <c r="M25" i="8"/>
  <c r="I25" i="8"/>
  <c r="E25" i="8"/>
  <c r="L25" i="8"/>
  <c r="D25" i="8"/>
  <c r="G25" i="8"/>
  <c r="C25" i="8"/>
  <c r="K25" i="8"/>
  <c r="B5" i="11"/>
  <c r="N28" i="9" l="1"/>
  <c r="E5" i="11" s="1"/>
  <c r="H13" i="5"/>
  <c r="N28" i="10" s="1"/>
  <c r="F19" i="8"/>
  <c r="F11" i="8"/>
  <c r="J8" i="7"/>
  <c r="G40" i="5"/>
  <c r="J30" i="8"/>
  <c r="F30" i="8"/>
  <c r="B30" i="8"/>
  <c r="M30" i="8"/>
  <c r="I30" i="8"/>
  <c r="E30" i="8"/>
  <c r="L30" i="8"/>
  <c r="D30" i="8"/>
  <c r="K30" i="8"/>
  <c r="C30" i="8"/>
  <c r="H30" i="8"/>
  <c r="G30" i="8"/>
  <c r="G16" i="8"/>
  <c r="G8" i="8"/>
  <c r="G9" i="7"/>
  <c r="B61" i="8"/>
  <c r="N23" i="10"/>
  <c r="F15" i="8"/>
  <c r="F7" i="8"/>
  <c r="F8" i="7"/>
  <c r="K30" i="10"/>
  <c r="G30" i="10"/>
  <c r="C30" i="10"/>
  <c r="L30" i="10"/>
  <c r="F30" i="10"/>
  <c r="J30" i="10"/>
  <c r="E30" i="10"/>
  <c r="I30" i="10"/>
  <c r="H30" i="10"/>
  <c r="M30" i="10"/>
  <c r="D30" i="10"/>
  <c r="B30" i="10"/>
  <c r="B26" i="4"/>
  <c r="C61" i="8"/>
  <c r="D40" i="8"/>
  <c r="E4" i="13"/>
  <c r="K23" i="9"/>
  <c r="G23" i="9"/>
  <c r="C23" i="9"/>
  <c r="J23" i="9"/>
  <c r="F23" i="9"/>
  <c r="B23" i="9"/>
  <c r="I23" i="9"/>
  <c r="H23" i="9"/>
  <c r="D23" i="9"/>
  <c r="M23" i="9"/>
  <c r="L23" i="9"/>
  <c r="E23" i="9"/>
  <c r="L30" i="9"/>
  <c r="H30" i="9"/>
  <c r="D30" i="9"/>
  <c r="K30" i="9"/>
  <c r="G30" i="9"/>
  <c r="C30" i="9"/>
  <c r="F30" i="9"/>
  <c r="M30" i="9"/>
  <c r="E30" i="9"/>
  <c r="I30" i="9"/>
  <c r="B30" i="9"/>
  <c r="J30" i="9"/>
  <c r="H17" i="8"/>
  <c r="H10" i="7"/>
  <c r="H9" i="8"/>
  <c r="E7" i="4"/>
  <c r="F7" i="4" s="1"/>
  <c r="E4" i="4"/>
  <c r="F4" i="4" s="1"/>
  <c r="E5" i="4"/>
  <c r="F5" i="4" s="1"/>
  <c r="E6" i="4"/>
  <c r="F6" i="4" s="1"/>
  <c r="E3" i="4"/>
  <c r="I18" i="8"/>
  <c r="I10" i="8"/>
  <c r="I11" i="7"/>
  <c r="H40" i="5" l="1"/>
  <c r="I12" i="7"/>
  <c r="J10" i="8"/>
  <c r="J18" i="8"/>
  <c r="B62" i="8"/>
  <c r="G10" i="7"/>
  <c r="H16" i="8"/>
  <c r="H8" i="8"/>
  <c r="H11" i="7"/>
  <c r="I17" i="8"/>
  <c r="I9" i="8"/>
  <c r="D41" i="8"/>
  <c r="G4" i="13"/>
  <c r="B5" i="13" s="1"/>
  <c r="M28" i="10"/>
  <c r="I28" i="10"/>
  <c r="E28" i="10"/>
  <c r="K28" i="10"/>
  <c r="F28" i="10"/>
  <c r="J28" i="10"/>
  <c r="D28" i="10"/>
  <c r="C28" i="10"/>
  <c r="L28" i="10"/>
  <c r="B28" i="10"/>
  <c r="G28" i="10"/>
  <c r="H28" i="10"/>
  <c r="E17" i="4"/>
  <c r="F3" i="4"/>
  <c r="F17" i="4" s="1"/>
  <c r="G15" i="8"/>
  <c r="G7" i="8"/>
  <c r="F9" i="7"/>
  <c r="J23" i="10"/>
  <c r="F23" i="10"/>
  <c r="B23" i="10"/>
  <c r="L23" i="10"/>
  <c r="G23" i="10"/>
  <c r="K23" i="10"/>
  <c r="E23" i="10"/>
  <c r="D23" i="10"/>
  <c r="M23" i="10"/>
  <c r="C23" i="10"/>
  <c r="I23" i="10"/>
  <c r="H23" i="10"/>
  <c r="H5" i="11"/>
  <c r="G19" i="8"/>
  <c r="G11" i="8"/>
  <c r="J9" i="7"/>
  <c r="J28" i="9"/>
  <c r="F28" i="9"/>
  <c r="B28" i="9"/>
  <c r="M28" i="9"/>
  <c r="I28" i="9"/>
  <c r="E28" i="9"/>
  <c r="H28" i="9"/>
  <c r="G28" i="9"/>
  <c r="C28" i="9"/>
  <c r="L28" i="9"/>
  <c r="K28" i="9"/>
  <c r="D28" i="9"/>
  <c r="D5" i="13" l="1"/>
  <c r="H19" i="8"/>
  <c r="H11" i="8"/>
  <c r="J10" i="7"/>
  <c r="H15" i="8"/>
  <c r="H7" i="8"/>
  <c r="F10" i="7"/>
  <c r="J17" i="8"/>
  <c r="J9" i="8"/>
  <c r="H12" i="7"/>
  <c r="C3" i="8"/>
  <c r="I13" i="7"/>
  <c r="K18" i="8"/>
  <c r="K10" i="8"/>
  <c r="I8" i="8"/>
  <c r="G11" i="7"/>
  <c r="I16" i="8"/>
  <c r="D61" i="8"/>
  <c r="J11" i="7" l="1"/>
  <c r="I19" i="8"/>
  <c r="I11" i="8"/>
  <c r="G12" i="7"/>
  <c r="J16" i="8"/>
  <c r="J8" i="8"/>
  <c r="F11" i="7"/>
  <c r="I7" i="8"/>
  <c r="I15" i="8"/>
  <c r="H13" i="7"/>
  <c r="K9" i="8"/>
  <c r="E40" i="8"/>
  <c r="E5" i="13"/>
  <c r="I14" i="7"/>
  <c r="L18" i="8"/>
  <c r="L10" i="8"/>
  <c r="C12" i="8"/>
  <c r="K16" i="8" l="1"/>
  <c r="K8" i="8"/>
  <c r="G13" i="7"/>
  <c r="J11" i="8"/>
  <c r="J12" i="7"/>
  <c r="J19" i="8"/>
  <c r="C62" i="8"/>
  <c r="M18" i="8"/>
  <c r="N18" i="8" s="1"/>
  <c r="M10" i="8"/>
  <c r="N10" i="8" s="1"/>
  <c r="I16" i="7"/>
  <c r="I15" i="7"/>
  <c r="J7" i="8"/>
  <c r="F12" i="7"/>
  <c r="J15" i="8"/>
  <c r="E41" i="8"/>
  <c r="G5" i="13"/>
  <c r="B6" i="13" s="1"/>
  <c r="L9" i="8"/>
  <c r="L17" i="8"/>
  <c r="H14" i="7"/>
  <c r="D6" i="13" l="1"/>
  <c r="K19" i="8"/>
  <c r="K11" i="8"/>
  <c r="J13" i="7"/>
  <c r="M17" i="8"/>
  <c r="M9" i="8"/>
  <c r="N9" i="8" s="1"/>
  <c r="H16" i="7"/>
  <c r="H15" i="7"/>
  <c r="B18" i="9"/>
  <c r="B10" i="9"/>
  <c r="I17" i="7"/>
  <c r="D3" i="8"/>
  <c r="G14" i="7"/>
  <c r="L8" i="8"/>
  <c r="L16" i="8"/>
  <c r="E61" i="8"/>
  <c r="K15" i="8"/>
  <c r="K7" i="8"/>
  <c r="F13" i="7"/>
  <c r="C18" i="9" l="1"/>
  <c r="C10" i="9"/>
  <c r="I18" i="7"/>
  <c r="M16" i="8"/>
  <c r="N16" i="8" s="1"/>
  <c r="G16" i="7"/>
  <c r="M8" i="8"/>
  <c r="N8" i="8" s="1"/>
  <c r="G15" i="7"/>
  <c r="L19" i="8"/>
  <c r="L11" i="8"/>
  <c r="J14" i="7"/>
  <c r="F40" i="8"/>
  <c r="E6" i="13"/>
  <c r="L15" i="8"/>
  <c r="L7" i="8"/>
  <c r="F14" i="7"/>
  <c r="D12" i="8"/>
  <c r="B17" i="9"/>
  <c r="B9" i="9"/>
  <c r="H17" i="7"/>
  <c r="M19" i="8" l="1"/>
  <c r="N19" i="8" s="1"/>
  <c r="M11" i="8"/>
  <c r="N11" i="8" s="1"/>
  <c r="J16" i="7"/>
  <c r="J15" i="7"/>
  <c r="D18" i="9"/>
  <c r="D10" i="9"/>
  <c r="I19" i="7"/>
  <c r="C17" i="9"/>
  <c r="C9" i="9"/>
  <c r="H18" i="7"/>
  <c r="B16" i="9"/>
  <c r="B8" i="9"/>
  <c r="G17" i="7"/>
  <c r="D62" i="8"/>
  <c r="F41" i="8"/>
  <c r="G6" i="13"/>
  <c r="B7" i="13" s="1"/>
  <c r="F16" i="7"/>
  <c r="M7" i="8"/>
  <c r="N7" i="8" s="1"/>
  <c r="M15" i="8"/>
  <c r="F15" i="7"/>
  <c r="F61" i="8"/>
  <c r="B7" i="9" l="1"/>
  <c r="F17" i="7"/>
  <c r="B15" i="9"/>
  <c r="D9" i="9"/>
  <c r="H19" i="7"/>
  <c r="D17" i="9"/>
  <c r="D7" i="13"/>
  <c r="B2" i="11"/>
  <c r="C16" i="9"/>
  <c r="C8" i="9"/>
  <c r="G18" i="7"/>
  <c r="E10" i="9"/>
  <c r="E18" i="9"/>
  <c r="I20" i="7"/>
  <c r="B19" i="9"/>
  <c r="J17" i="7"/>
  <c r="B11" i="9"/>
  <c r="E3" i="8"/>
  <c r="N15" i="8"/>
  <c r="I21" i="7" l="1"/>
  <c r="F10" i="9"/>
  <c r="F18" i="9"/>
  <c r="E17" i="9"/>
  <c r="E9" i="9"/>
  <c r="H20" i="7"/>
  <c r="C15" i="9"/>
  <c r="C7" i="9"/>
  <c r="F18" i="7"/>
  <c r="C11" i="9"/>
  <c r="C19" i="9"/>
  <c r="J18" i="7"/>
  <c r="E12" i="8"/>
  <c r="D16" i="9"/>
  <c r="D8" i="9"/>
  <c r="G19" i="7"/>
  <c r="E7" i="13"/>
  <c r="G40" i="8"/>
  <c r="G41" i="8" l="1"/>
  <c r="G7" i="13"/>
  <c r="B8" i="13" s="1"/>
  <c r="D11" i="9"/>
  <c r="J19" i="7"/>
  <c r="D19" i="9"/>
  <c r="F17" i="9"/>
  <c r="F9" i="9"/>
  <c r="H21" i="7"/>
  <c r="K17" i="8"/>
  <c r="D15" i="9"/>
  <c r="D7" i="9"/>
  <c r="F19" i="7"/>
  <c r="E8" i="9"/>
  <c r="G20" i="7"/>
  <c r="E16" i="9"/>
  <c r="G18" i="9"/>
  <c r="G10" i="9"/>
  <c r="I22" i="7"/>
  <c r="G61" i="8"/>
  <c r="E62" i="8"/>
  <c r="F16" i="9" l="1"/>
  <c r="F8" i="9"/>
  <c r="G21" i="7"/>
  <c r="E15" i="9"/>
  <c r="E7" i="9"/>
  <c r="F20" i="7"/>
  <c r="N17" i="8"/>
  <c r="B3" i="11" s="1"/>
  <c r="B4" i="11" s="1"/>
  <c r="B7" i="11" s="1"/>
  <c r="D8" i="13"/>
  <c r="H18" i="9"/>
  <c r="H10" i="9"/>
  <c r="I23" i="7"/>
  <c r="G17" i="9"/>
  <c r="G9" i="9"/>
  <c r="H22" i="7"/>
  <c r="E19" i="9"/>
  <c r="E11" i="9"/>
  <c r="J20" i="7"/>
  <c r="F3" i="8"/>
  <c r="F12" i="8" l="1"/>
  <c r="G16" i="9"/>
  <c r="G8" i="9"/>
  <c r="G22" i="7"/>
  <c r="F19" i="9"/>
  <c r="F11" i="9"/>
  <c r="J21" i="7"/>
  <c r="I18" i="9"/>
  <c r="I10" i="9"/>
  <c r="I24" i="7"/>
  <c r="H40" i="8"/>
  <c r="E8" i="13"/>
  <c r="G8" i="13" s="1"/>
  <c r="B9" i="13" s="1"/>
  <c r="F7" i="9"/>
  <c r="F21" i="7"/>
  <c r="F15" i="9"/>
  <c r="H17" i="9"/>
  <c r="H9" i="9"/>
  <c r="H23" i="7"/>
  <c r="I9" i="9" l="1"/>
  <c r="H24" i="7"/>
  <c r="I17" i="9"/>
  <c r="J18" i="9"/>
  <c r="J10" i="9"/>
  <c r="I25" i="7"/>
  <c r="D9" i="13"/>
  <c r="H16" i="9"/>
  <c r="G23" i="7"/>
  <c r="H8" i="9"/>
  <c r="G15" i="9"/>
  <c r="G7" i="9"/>
  <c r="F22" i="7"/>
  <c r="G19" i="9"/>
  <c r="G11" i="9"/>
  <c r="J22" i="7"/>
  <c r="F62" i="8"/>
  <c r="H11" i="9" l="1"/>
  <c r="J23" i="7"/>
  <c r="H19" i="9"/>
  <c r="I40" i="8"/>
  <c r="E9" i="13"/>
  <c r="H15" i="9"/>
  <c r="H7" i="9"/>
  <c r="F23" i="7"/>
  <c r="I8" i="9"/>
  <c r="G24" i="7"/>
  <c r="I16" i="9"/>
  <c r="K18" i="9"/>
  <c r="K10" i="9"/>
  <c r="I26" i="7"/>
  <c r="J9" i="9"/>
  <c r="J17" i="9"/>
  <c r="H25" i="7"/>
  <c r="G3" i="8"/>
  <c r="L10" i="9" l="1"/>
  <c r="L18" i="9"/>
  <c r="I27" i="7"/>
  <c r="J16" i="9"/>
  <c r="J8" i="9"/>
  <c r="G25" i="7"/>
  <c r="I19" i="9"/>
  <c r="I11" i="9"/>
  <c r="J24" i="7"/>
  <c r="I15" i="9"/>
  <c r="I7" i="9"/>
  <c r="F24" i="7"/>
  <c r="G12" i="8"/>
  <c r="G62" i="8" s="1"/>
  <c r="H3" i="8" s="1"/>
  <c r="H12" i="8" s="1"/>
  <c r="K17" i="9"/>
  <c r="K9" i="9"/>
  <c r="H26" i="7"/>
  <c r="I41" i="8"/>
  <c r="I61" i="8" s="1"/>
  <c r="G9" i="13"/>
  <c r="B10" i="13" s="1"/>
  <c r="K16" i="9" l="1"/>
  <c r="K8" i="9"/>
  <c r="G26" i="7"/>
  <c r="J19" i="9"/>
  <c r="J11" i="9"/>
  <c r="J25" i="7"/>
  <c r="M10" i="9"/>
  <c r="N10" i="9" s="1"/>
  <c r="M18" i="9"/>
  <c r="N18" i="9" s="1"/>
  <c r="I29" i="7"/>
  <c r="I28" i="7"/>
  <c r="D10" i="13"/>
  <c r="L17" i="9"/>
  <c r="L9" i="9"/>
  <c r="H27" i="7"/>
  <c r="J7" i="9"/>
  <c r="F25" i="7"/>
  <c r="J15" i="9"/>
  <c r="K15" i="9" l="1"/>
  <c r="K7" i="9"/>
  <c r="F26" i="7"/>
  <c r="M9" i="9"/>
  <c r="N9" i="9" s="1"/>
  <c r="H29" i="7"/>
  <c r="M17" i="9"/>
  <c r="N17" i="9" s="1"/>
  <c r="H28" i="7"/>
  <c r="J40" i="8"/>
  <c r="E10" i="13"/>
  <c r="L16" i="9"/>
  <c r="L8" i="9"/>
  <c r="G27" i="7"/>
  <c r="B18" i="10"/>
  <c r="B10" i="10"/>
  <c r="I30" i="7"/>
  <c r="K19" i="9"/>
  <c r="K11" i="9"/>
  <c r="J26" i="7"/>
  <c r="L19" i="9" l="1"/>
  <c r="L11" i="9"/>
  <c r="J27" i="7"/>
  <c r="M8" i="9"/>
  <c r="N8" i="9" s="1"/>
  <c r="G29" i="7"/>
  <c r="M16" i="9"/>
  <c r="N16" i="9" s="1"/>
  <c r="G28" i="7"/>
  <c r="C18" i="10"/>
  <c r="C10" i="10"/>
  <c r="I31" i="7"/>
  <c r="L15" i="9"/>
  <c r="L7" i="9"/>
  <c r="F27" i="7"/>
  <c r="J41" i="8"/>
  <c r="J61" i="8" s="1"/>
  <c r="G10" i="13"/>
  <c r="B11" i="13" s="1"/>
  <c r="B17" i="10"/>
  <c r="B9" i="10"/>
  <c r="H30" i="7"/>
  <c r="D18" i="10" l="1"/>
  <c r="D10" i="10"/>
  <c r="I32" i="7"/>
  <c r="M19" i="9"/>
  <c r="N19" i="9" s="1"/>
  <c r="J29" i="7"/>
  <c r="M11" i="9"/>
  <c r="N11" i="9" s="1"/>
  <c r="J28" i="7"/>
  <c r="M15" i="9"/>
  <c r="F29" i="7"/>
  <c r="M7" i="9"/>
  <c r="N7" i="9" s="1"/>
  <c r="F28" i="7"/>
  <c r="B8" i="10"/>
  <c r="B16" i="10"/>
  <c r="G30" i="7"/>
  <c r="C17" i="10"/>
  <c r="H31" i="7"/>
  <c r="C9" i="10"/>
  <c r="D11" i="13"/>
  <c r="E2" i="11" l="1"/>
  <c r="K40" i="8"/>
  <c r="E11" i="13"/>
  <c r="B7" i="10"/>
  <c r="B15" i="10"/>
  <c r="F30" i="7"/>
  <c r="D17" i="10"/>
  <c r="D9" i="10"/>
  <c r="H32" i="7"/>
  <c r="E18" i="10"/>
  <c r="E10" i="10"/>
  <c r="I33" i="7"/>
  <c r="B19" i="10"/>
  <c r="B11" i="10"/>
  <c r="J30" i="7"/>
  <c r="N15" i="9"/>
  <c r="E3" i="11" s="1"/>
  <c r="C16" i="10"/>
  <c r="C8" i="10"/>
  <c r="G31" i="7"/>
  <c r="E4" i="11" l="1"/>
  <c r="E7" i="11" s="1"/>
  <c r="D8" i="10"/>
  <c r="G32" i="7"/>
  <c r="D16" i="10"/>
  <c r="F18" i="10"/>
  <c r="F10" i="10"/>
  <c r="I34" i="7"/>
  <c r="C11" i="10"/>
  <c r="C19" i="10"/>
  <c r="J31" i="7"/>
  <c r="E9" i="10"/>
  <c r="E17" i="10"/>
  <c r="H33" i="7"/>
  <c r="C7" i="10"/>
  <c r="C15" i="10"/>
  <c r="F31" i="7"/>
  <c r="K41" i="8"/>
  <c r="K61" i="8" s="1"/>
  <c r="G11" i="13"/>
  <c r="B12" i="13" s="1"/>
  <c r="E16" i="10" l="1"/>
  <c r="E8" i="10"/>
  <c r="G33" i="7"/>
  <c r="D12" i="13"/>
  <c r="F17" i="10"/>
  <c r="F9" i="10"/>
  <c r="H34" i="7"/>
  <c r="D15" i="10"/>
  <c r="D7" i="10"/>
  <c r="F32" i="7"/>
  <c r="D19" i="10"/>
  <c r="D11" i="10"/>
  <c r="J32" i="7"/>
  <c r="G18" i="10"/>
  <c r="G10" i="10"/>
  <c r="I35" i="7"/>
  <c r="E19" i="10" l="1"/>
  <c r="E11" i="10"/>
  <c r="J33" i="7"/>
  <c r="H10" i="10"/>
  <c r="H18" i="10"/>
  <c r="I36" i="7"/>
  <c r="E15" i="10"/>
  <c r="E7" i="10"/>
  <c r="F33" i="7"/>
  <c r="G9" i="10"/>
  <c r="G17" i="10"/>
  <c r="H35" i="7"/>
  <c r="L40" i="8"/>
  <c r="E12" i="13"/>
  <c r="F8" i="10"/>
  <c r="G34" i="7"/>
  <c r="F16" i="10"/>
  <c r="G16" i="10" l="1"/>
  <c r="G8" i="10"/>
  <c r="G35" i="7"/>
  <c r="F15" i="10"/>
  <c r="F7" i="10"/>
  <c r="F34" i="7"/>
  <c r="I18" i="10"/>
  <c r="I10" i="10"/>
  <c r="I37" i="7"/>
  <c r="H17" i="10"/>
  <c r="H9" i="10"/>
  <c r="H36" i="7"/>
  <c r="L41" i="8"/>
  <c r="L61" i="8" s="1"/>
  <c r="G12" i="13"/>
  <c r="B13" i="13" s="1"/>
  <c r="F19" i="10"/>
  <c r="F11" i="10"/>
  <c r="J34" i="7"/>
  <c r="J10" i="10" l="1"/>
  <c r="J18" i="10"/>
  <c r="I38" i="7"/>
  <c r="G7" i="10"/>
  <c r="F35" i="7"/>
  <c r="G15" i="10"/>
  <c r="H16" i="10"/>
  <c r="H8" i="10"/>
  <c r="G36" i="7"/>
  <c r="D13" i="13"/>
  <c r="G19" i="10"/>
  <c r="G11" i="10"/>
  <c r="J35" i="7"/>
  <c r="I9" i="10"/>
  <c r="I17" i="10"/>
  <c r="H37" i="7"/>
  <c r="H19" i="10" l="1"/>
  <c r="J36" i="7"/>
  <c r="H11" i="10"/>
  <c r="H7" i="10"/>
  <c r="H15" i="10"/>
  <c r="F36" i="7"/>
  <c r="M40" i="8"/>
  <c r="E13" i="13"/>
  <c r="J17" i="10"/>
  <c r="J9" i="10"/>
  <c r="H38" i="7"/>
  <c r="I16" i="10"/>
  <c r="I8" i="10"/>
  <c r="G37" i="7"/>
  <c r="K18" i="10"/>
  <c r="K10" i="10"/>
  <c r="I39" i="7"/>
  <c r="L10" i="10" l="1"/>
  <c r="L18" i="10"/>
  <c r="I40" i="7"/>
  <c r="K17" i="10"/>
  <c r="K9" i="10"/>
  <c r="H39" i="7"/>
  <c r="I15" i="10"/>
  <c r="I7" i="10"/>
  <c r="F37" i="7"/>
  <c r="J8" i="10"/>
  <c r="J16" i="10"/>
  <c r="G38" i="7"/>
  <c r="M41" i="8"/>
  <c r="G13" i="13"/>
  <c r="B14" i="13" s="1"/>
  <c r="N40" i="8"/>
  <c r="B8" i="11" s="1"/>
  <c r="B9" i="11" s="1"/>
  <c r="M61" i="8"/>
  <c r="I19" i="10"/>
  <c r="I11" i="10"/>
  <c r="J37" i="7"/>
  <c r="B10" i="11" l="1"/>
  <c r="B11" i="11" s="1"/>
  <c r="K16" i="10"/>
  <c r="K8" i="10"/>
  <c r="G39" i="7"/>
  <c r="J19" i="10"/>
  <c r="J11" i="10"/>
  <c r="J38" i="7"/>
  <c r="M18" i="10"/>
  <c r="N18" i="10" s="1"/>
  <c r="M10" i="10"/>
  <c r="N10" i="10" s="1"/>
  <c r="I41" i="7"/>
  <c r="D14" i="13"/>
  <c r="L17" i="10"/>
  <c r="L9" i="10"/>
  <c r="H40" i="7"/>
  <c r="J15" i="10"/>
  <c r="J7" i="10"/>
  <c r="F38" i="7"/>
  <c r="M9" i="10" l="1"/>
  <c r="N9" i="10" s="1"/>
  <c r="M17" i="10"/>
  <c r="N17" i="10" s="1"/>
  <c r="H41" i="7"/>
  <c r="K15" i="10"/>
  <c r="K7" i="10"/>
  <c r="F39" i="7"/>
  <c r="B38" i="9"/>
  <c r="E14" i="13"/>
  <c r="K11" i="10"/>
  <c r="K19" i="10"/>
  <c r="J39" i="7"/>
  <c r="L16" i="10"/>
  <c r="L8" i="10"/>
  <c r="G40" i="7"/>
  <c r="B39" i="9" l="1"/>
  <c r="G14" i="13"/>
  <c r="B15" i="13" s="1"/>
  <c r="B42" i="9"/>
  <c r="L19" i="10"/>
  <c r="L11" i="10"/>
  <c r="J40" i="7"/>
  <c r="M16" i="10"/>
  <c r="N16" i="10" s="1"/>
  <c r="M8" i="10"/>
  <c r="N8" i="10" s="1"/>
  <c r="G41" i="7"/>
  <c r="L15" i="10"/>
  <c r="L7" i="10"/>
  <c r="F40" i="7"/>
  <c r="M15" i="10" l="1"/>
  <c r="M7" i="10"/>
  <c r="N7" i="10" s="1"/>
  <c r="F41" i="7"/>
  <c r="M11" i="10"/>
  <c r="N11" i="10" s="1"/>
  <c r="M19" i="10"/>
  <c r="N19" i="10" s="1"/>
  <c r="J41" i="7"/>
  <c r="D15" i="13"/>
  <c r="H2" i="11" l="1"/>
  <c r="C38" i="9"/>
  <c r="E15" i="13"/>
  <c r="N15" i="10"/>
  <c r="H3" i="11" s="1"/>
  <c r="H4" i="11" l="1"/>
  <c r="H7" i="11" s="1"/>
  <c r="C39" i="9"/>
  <c r="C42" i="9" s="1"/>
  <c r="G15" i="13"/>
  <c r="B16" i="13" s="1"/>
  <c r="D16" i="13" l="1"/>
  <c r="D38" i="9" l="1"/>
  <c r="E16" i="13"/>
  <c r="D39" i="9" l="1"/>
  <c r="G16" i="13"/>
  <c r="B17" i="13" s="1"/>
  <c r="D42" i="9"/>
  <c r="D17" i="13" l="1"/>
  <c r="E38" i="9" l="1"/>
  <c r="E17" i="13"/>
  <c r="E39" i="9" l="1"/>
  <c r="G17" i="13"/>
  <c r="B18" i="13" s="1"/>
  <c r="E42" i="9"/>
  <c r="D18" i="13" l="1"/>
  <c r="F38" i="9" l="1"/>
  <c r="E18" i="13"/>
  <c r="F39" i="9" l="1"/>
  <c r="G18" i="13"/>
  <c r="B19" i="13" s="1"/>
  <c r="F42" i="9"/>
  <c r="D19" i="13" l="1"/>
  <c r="G38" i="9" l="1"/>
  <c r="E19" i="13"/>
  <c r="G39" i="9" l="1"/>
  <c r="G42" i="9" s="1"/>
  <c r="G19" i="13"/>
  <c r="B20" i="13" s="1"/>
  <c r="D20" i="13" l="1"/>
  <c r="H38" i="9" l="1"/>
  <c r="E20" i="13"/>
  <c r="H39" i="9" l="1"/>
  <c r="G20" i="13"/>
  <c r="B21" i="13" s="1"/>
  <c r="H42" i="9"/>
  <c r="D21" i="13" l="1"/>
  <c r="I38" i="9" l="1"/>
  <c r="E21" i="13"/>
  <c r="I39" i="9" l="1"/>
  <c r="I42" i="9" s="1"/>
  <c r="G21" i="13"/>
  <c r="B22" i="13" s="1"/>
  <c r="D22" i="13" l="1"/>
  <c r="E22" i="13" l="1"/>
  <c r="J38" i="9"/>
  <c r="J39" i="9" l="1"/>
  <c r="J42" i="9" s="1"/>
  <c r="G22" i="13"/>
  <c r="B23" i="13" s="1"/>
  <c r="D23" i="13" l="1"/>
  <c r="K38" i="9" l="1"/>
  <c r="E23" i="13"/>
  <c r="K39" i="9" l="1"/>
  <c r="G23" i="13"/>
  <c r="B24" i="13" s="1"/>
  <c r="K42" i="9"/>
  <c r="D24" i="13" l="1"/>
  <c r="L38" i="9" l="1"/>
  <c r="E24" i="13"/>
  <c r="L39" i="9" l="1"/>
  <c r="G24" i="13"/>
  <c r="B25" i="13" s="1"/>
  <c r="L42" i="9"/>
  <c r="D25" i="13" l="1"/>
  <c r="M38" i="9" l="1"/>
  <c r="E25" i="13"/>
  <c r="M39" i="9" l="1"/>
  <c r="N39" i="9" s="1"/>
  <c r="G25" i="13"/>
  <c r="B26" i="13" s="1"/>
  <c r="M42" i="9"/>
  <c r="N42" i="9" s="1"/>
  <c r="N38" i="9"/>
  <c r="E8" i="11" s="1"/>
  <c r="E9" i="11" s="1"/>
  <c r="E10" i="11" l="1"/>
  <c r="E11" i="11" s="1"/>
  <c r="D26" i="13"/>
  <c r="B38" i="10" l="1"/>
  <c r="E26" i="13"/>
  <c r="B39" i="10" l="1"/>
  <c r="G26" i="13"/>
  <c r="B27" i="13" s="1"/>
  <c r="B42" i="10"/>
  <c r="D27" i="13" l="1"/>
  <c r="C38" i="10" l="1"/>
  <c r="E27" i="13"/>
  <c r="C39" i="10" l="1"/>
  <c r="G27" i="13"/>
  <c r="B28" i="13" s="1"/>
  <c r="C42" i="10"/>
  <c r="D28" i="13" l="1"/>
  <c r="D38" i="10" l="1"/>
  <c r="E28" i="13"/>
  <c r="D39" i="10" l="1"/>
  <c r="G28" i="13"/>
  <c r="B29" i="13" s="1"/>
  <c r="D42" i="10"/>
  <c r="D29" i="13" l="1"/>
  <c r="E38" i="10" l="1"/>
  <c r="E29" i="13"/>
  <c r="E39" i="10" l="1"/>
  <c r="G29" i="13"/>
  <c r="B30" i="13" s="1"/>
  <c r="E42" i="10"/>
  <c r="D30" i="13" l="1"/>
  <c r="F38" i="10" l="1"/>
  <c r="E30" i="13"/>
  <c r="F39" i="10" l="1"/>
  <c r="G30" i="13"/>
  <c r="B31" i="13" s="1"/>
  <c r="F42" i="10"/>
  <c r="D31" i="13" l="1"/>
  <c r="G38" i="10" l="1"/>
  <c r="E31" i="13"/>
  <c r="G39" i="10" l="1"/>
  <c r="G31" i="13"/>
  <c r="B32" i="13" s="1"/>
  <c r="G42" i="10"/>
  <c r="D32" i="13" l="1"/>
  <c r="H38" i="10" l="1"/>
  <c r="E32" i="13"/>
  <c r="H39" i="10" l="1"/>
  <c r="H42" i="10" s="1"/>
  <c r="G32" i="13"/>
  <c r="B33" i="13" s="1"/>
  <c r="D33" i="13" l="1"/>
  <c r="I38" i="10" l="1"/>
  <c r="E33" i="13"/>
  <c r="I39" i="10" l="1"/>
  <c r="I42" i="10" s="1"/>
  <c r="G33" i="13"/>
  <c r="B34" i="13" s="1"/>
  <c r="D34" i="13" l="1"/>
  <c r="J38" i="10" l="1"/>
  <c r="E34" i="13"/>
  <c r="J39" i="10" l="1"/>
  <c r="G34" i="13"/>
  <c r="B35" i="13" s="1"/>
  <c r="J42" i="10"/>
  <c r="D35" i="13" l="1"/>
  <c r="K38" i="10" l="1"/>
  <c r="E35" i="13"/>
  <c r="K39" i="10" l="1"/>
  <c r="G35" i="13"/>
  <c r="B36" i="13" s="1"/>
  <c r="K42" i="10"/>
  <c r="D36" i="13" l="1"/>
  <c r="L38" i="10" l="1"/>
  <c r="E36" i="13"/>
  <c r="L39" i="10" l="1"/>
  <c r="L42" i="10" s="1"/>
  <c r="G36" i="13"/>
  <c r="B37" i="13" s="1"/>
  <c r="D37" i="13" l="1"/>
  <c r="M38" i="10" l="1"/>
  <c r="E37" i="13"/>
  <c r="M39" i="10" l="1"/>
  <c r="N39" i="10" s="1"/>
  <c r="G37" i="13"/>
  <c r="B38" i="13" s="1"/>
  <c r="M42" i="10"/>
  <c r="N42" i="10" s="1"/>
  <c r="N38" i="10"/>
  <c r="H8" i="11" s="1"/>
  <c r="H9" i="11" s="1"/>
  <c r="H10" i="11" l="1"/>
  <c r="H11" i="11" s="1"/>
  <c r="D38" i="13"/>
  <c r="E38" i="13" s="1"/>
  <c r="H41" i="8" s="1"/>
  <c r="G38" i="13" l="1"/>
  <c r="B39" i="13" s="1"/>
  <c r="H61" i="8"/>
  <c r="N41" i="8"/>
  <c r="D39" i="13" l="1"/>
  <c r="E39" i="13" s="1"/>
  <c r="G39" i="13" s="1"/>
  <c r="B40" i="13" s="1"/>
  <c r="H62" i="8"/>
  <c r="I3" i="8" s="1"/>
  <c r="I12" i="8" s="1"/>
  <c r="I62" i="8" s="1"/>
  <c r="J3" i="8" s="1"/>
  <c r="J12" i="8" s="1"/>
  <c r="J62" i="8" s="1"/>
  <c r="K3" i="8" s="1"/>
  <c r="K12" i="8" s="1"/>
  <c r="K62" i="8" s="1"/>
  <c r="L3" i="8" s="1"/>
  <c r="L12" i="8" s="1"/>
  <c r="L62" i="8" s="1"/>
  <c r="M3" i="8" s="1"/>
  <c r="N61" i="8"/>
  <c r="D40" i="13" l="1"/>
  <c r="E40" i="13" s="1"/>
  <c r="G40" i="13" s="1"/>
  <c r="B41" i="13" s="1"/>
  <c r="M12" i="8"/>
  <c r="N3" i="8"/>
  <c r="D41" i="13" l="1"/>
  <c r="E41" i="13" s="1"/>
  <c r="G41" i="13" s="1"/>
  <c r="B42" i="13" s="1"/>
  <c r="M62" i="8"/>
  <c r="N12" i="8"/>
  <c r="D42" i="13" l="1"/>
  <c r="E42" i="13" s="1"/>
  <c r="G42" i="13" s="1"/>
  <c r="B43" i="13" s="1"/>
  <c r="B3" i="12"/>
  <c r="B3" i="9"/>
  <c r="N62" i="8"/>
  <c r="D43" i="13" l="1"/>
  <c r="E43" i="13" s="1"/>
  <c r="G43" i="13"/>
  <c r="B44" i="13" s="1"/>
  <c r="B12" i="9"/>
  <c r="B43" i="9" l="1"/>
  <c r="D44" i="13"/>
  <c r="E44" i="13" s="1"/>
  <c r="G44" i="13" s="1"/>
  <c r="B45" i="13" s="1"/>
  <c r="D45" i="13" l="1"/>
  <c r="E45" i="13" s="1"/>
  <c r="G45" i="13" s="1"/>
  <c r="B46" i="13" s="1"/>
  <c r="C3" i="9"/>
  <c r="D46" i="13" l="1"/>
  <c r="E46" i="13" s="1"/>
  <c r="G46" i="13" s="1"/>
  <c r="B47" i="13" s="1"/>
  <c r="C12" i="9"/>
  <c r="D47" i="13" l="1"/>
  <c r="E47" i="13" s="1"/>
  <c r="G47" i="13" s="1"/>
  <c r="B48" i="13" s="1"/>
  <c r="C43" i="9"/>
  <c r="D48" i="13" l="1"/>
  <c r="E48" i="13" s="1"/>
  <c r="G48" i="13" s="1"/>
  <c r="B49" i="13" s="1"/>
  <c r="D3" i="9"/>
  <c r="D49" i="13" l="1"/>
  <c r="E49" i="13" s="1"/>
  <c r="G49" i="13" s="1"/>
  <c r="B50" i="13" s="1"/>
  <c r="D12" i="9"/>
  <c r="D50" i="13" l="1"/>
  <c r="E50" i="13" s="1"/>
  <c r="G50" i="13" s="1"/>
  <c r="B51" i="13" s="1"/>
  <c r="D43" i="9"/>
  <c r="D51" i="13" l="1"/>
  <c r="E51" i="13" s="1"/>
  <c r="G51" i="13" s="1"/>
  <c r="B52" i="13" s="1"/>
  <c r="E3" i="9"/>
  <c r="G52" i="13" l="1"/>
  <c r="B53" i="13" s="1"/>
  <c r="D52" i="13"/>
  <c r="E52" i="13" s="1"/>
  <c r="E12" i="9"/>
  <c r="D53" i="13" l="1"/>
  <c r="E53" i="13" s="1"/>
  <c r="G53" i="13" s="1"/>
  <c r="B54" i="13" s="1"/>
  <c r="E43" i="9"/>
  <c r="D54" i="13" l="1"/>
  <c r="E54" i="13" s="1"/>
  <c r="G54" i="13" s="1"/>
  <c r="B55" i="13" s="1"/>
  <c r="F3" i="9"/>
  <c r="D55" i="13" l="1"/>
  <c r="E55" i="13" s="1"/>
  <c r="G55" i="13"/>
  <c r="B56" i="13" s="1"/>
  <c r="F12" i="9"/>
  <c r="D56" i="13" l="1"/>
  <c r="E56" i="13" s="1"/>
  <c r="G56" i="13" s="1"/>
  <c r="B57" i="13" s="1"/>
  <c r="F43" i="9"/>
  <c r="D57" i="13" l="1"/>
  <c r="E57" i="13" s="1"/>
  <c r="G57" i="13" s="1"/>
  <c r="B58" i="13" s="1"/>
  <c r="G3" i="9"/>
  <c r="G12" i="9" s="1"/>
  <c r="G43" i="9" s="1"/>
  <c r="H3" i="9" s="1"/>
  <c r="H12" i="9" s="1"/>
  <c r="H43" i="9" s="1"/>
  <c r="I3" i="9" s="1"/>
  <c r="I12" i="9" s="1"/>
  <c r="I43" i="9" s="1"/>
  <c r="J3" i="9" s="1"/>
  <c r="J12" i="9" s="1"/>
  <c r="J43" i="9" s="1"/>
  <c r="K3" i="9" s="1"/>
  <c r="K12" i="9" s="1"/>
  <c r="K43" i="9" s="1"/>
  <c r="L3" i="9" s="1"/>
  <c r="L12" i="9" s="1"/>
  <c r="L43" i="9" s="1"/>
  <c r="M3" i="9" s="1"/>
  <c r="D58" i="13" l="1"/>
  <c r="E58" i="13" s="1"/>
  <c r="G58" i="13"/>
  <c r="B59" i="13" s="1"/>
  <c r="M12" i="9"/>
  <c r="N3" i="9"/>
  <c r="M43" i="9" l="1"/>
  <c r="N12" i="9"/>
  <c r="D59" i="13"/>
  <c r="E59" i="13" s="1"/>
  <c r="G59" i="13"/>
  <c r="B60" i="13" s="1"/>
  <c r="D60" i="13" l="1"/>
  <c r="E60" i="13" s="1"/>
  <c r="G60" i="13" s="1"/>
  <c r="B61" i="13" s="1"/>
  <c r="B3" i="10"/>
  <c r="B4" i="12"/>
  <c r="N43" i="9"/>
  <c r="D61" i="13" l="1"/>
  <c r="E61" i="13" s="1"/>
  <c r="G61" i="13" s="1"/>
  <c r="B12" i="10"/>
  <c r="B43" i="10" l="1"/>
  <c r="C3" i="10" l="1"/>
  <c r="C12" i="10" l="1"/>
  <c r="C43" i="10" l="1"/>
  <c r="D3" i="10" l="1"/>
  <c r="D12" i="10" l="1"/>
  <c r="D43" i="10" l="1"/>
  <c r="E3" i="10" l="1"/>
  <c r="E12" i="10" l="1"/>
  <c r="E43" i="10" l="1"/>
  <c r="F3" i="10" l="1"/>
  <c r="F12" i="10" l="1"/>
  <c r="F43" i="10" l="1"/>
  <c r="G3" i="10" l="1"/>
  <c r="G12" i="10" s="1"/>
  <c r="G43" i="10" s="1"/>
  <c r="H3" i="10" s="1"/>
  <c r="H12" i="10" s="1"/>
  <c r="H43" i="10" s="1"/>
  <c r="I3" i="10" s="1"/>
  <c r="I12" i="10" s="1"/>
  <c r="I43" i="10" s="1"/>
  <c r="J3" i="10" s="1"/>
  <c r="J12" i="10" s="1"/>
  <c r="J43" i="10" s="1"/>
  <c r="K3" i="10" s="1"/>
  <c r="K12" i="10" s="1"/>
  <c r="K43" i="10" s="1"/>
  <c r="L3" i="10" s="1"/>
  <c r="L12" i="10" s="1"/>
  <c r="L43" i="10" s="1"/>
  <c r="M3" i="10" s="1"/>
  <c r="M12" i="10" l="1"/>
  <c r="N3" i="10"/>
  <c r="M43" i="10" l="1"/>
  <c r="N12" i="10"/>
  <c r="B5" i="12" l="1"/>
  <c r="B7" i="12" s="1"/>
  <c r="N43" i="10"/>
  <c r="B6" i="12" l="1" a="1"/>
  <c r="B6" i="12" s="1"/>
</calcChain>
</file>

<file path=xl/sharedStrings.xml><?xml version="1.0" encoding="utf-8"?>
<sst xmlns="http://schemas.openxmlformats.org/spreadsheetml/2006/main" count="621" uniqueCount="277">
  <si>
    <t>Sin Variable</t>
  </si>
  <si>
    <t>Inversión Inicial</t>
  </si>
  <si>
    <t>Activos Fijos</t>
  </si>
  <si>
    <t>Cantidad</t>
  </si>
  <si>
    <t>Costo total</t>
  </si>
  <si>
    <t>Batidora industrial</t>
  </si>
  <si>
    <t xml:space="preserve">Tipo de cambio </t>
  </si>
  <si>
    <t>Maquina de laminado</t>
  </si>
  <si>
    <t>Maquina moldeadora</t>
  </si>
  <si>
    <t xml:space="preserve">Cintas transportadoras </t>
  </si>
  <si>
    <t>Horno industrial</t>
  </si>
  <si>
    <t xml:space="preserve">Maquina empacadora </t>
  </si>
  <si>
    <t xml:space="preserve">Maquina de bañado </t>
  </si>
  <si>
    <t>Moldes</t>
  </si>
  <si>
    <t xml:space="preserve">Recipientes y otros utencilios de cocina </t>
  </si>
  <si>
    <t>-</t>
  </si>
  <si>
    <t xml:space="preserve">Mesas de acero </t>
  </si>
  <si>
    <t>Laptops</t>
  </si>
  <si>
    <t xml:space="preserve">Escritorios </t>
  </si>
  <si>
    <t xml:space="preserve">Sillas </t>
  </si>
  <si>
    <t>Impresora</t>
  </si>
  <si>
    <t xml:space="preserve">Mesas de comedor </t>
  </si>
  <si>
    <t xml:space="preserve">sillas de acero </t>
  </si>
  <si>
    <t>Camión de carga</t>
  </si>
  <si>
    <t>TOTAL</t>
  </si>
  <si>
    <t>Inversión diferida</t>
  </si>
  <si>
    <t>Estudio de mercado</t>
  </si>
  <si>
    <t>Patentes</t>
  </si>
  <si>
    <t>Tramites legales</t>
  </si>
  <si>
    <t xml:space="preserve">Apertura de la empresa </t>
  </si>
  <si>
    <t xml:space="preserve">Total </t>
  </si>
  <si>
    <t>Puesto</t>
  </si>
  <si>
    <t>Salario Bruto</t>
  </si>
  <si>
    <t>Invalidez, Vejez y Muerte (4%)</t>
  </si>
  <si>
    <t>Seguro de enfermedad y maternidad (5,50%)</t>
  </si>
  <si>
    <t>Régimen obligatorio de pensiones complementarias  (1%)</t>
  </si>
  <si>
    <t>Total aporte del trabajador (10,50%)</t>
  </si>
  <si>
    <t>Impuesto de renta</t>
  </si>
  <si>
    <t>Salario neto</t>
  </si>
  <si>
    <t>Cajero 1</t>
  </si>
  <si>
    <t>Cajero 2</t>
  </si>
  <si>
    <t>Chofer 1</t>
  </si>
  <si>
    <t>Chofer 2</t>
  </si>
  <si>
    <t>Conserje</t>
  </si>
  <si>
    <t>Dependiente 1</t>
  </si>
  <si>
    <t>Dependiente 2</t>
  </si>
  <si>
    <t>Horneador 1</t>
  </si>
  <si>
    <t>Horneador 2</t>
  </si>
  <si>
    <t xml:space="preserve">Oficial de mesa </t>
  </si>
  <si>
    <t>Operador de máquinas 1</t>
  </si>
  <si>
    <t>Operador de máquinas 2</t>
  </si>
  <si>
    <t>Operador de máquinas 3</t>
  </si>
  <si>
    <t>Empacador 1</t>
  </si>
  <si>
    <t>Empacador 2</t>
  </si>
  <si>
    <t>Empacador 3</t>
  </si>
  <si>
    <t>Gerente</t>
  </si>
  <si>
    <t>Total</t>
  </si>
  <si>
    <t>Invalidez, Vejez y Muerte (5,25%)</t>
  </si>
  <si>
    <t>Seguro de enfermedad y maternidad (9,25%)</t>
  </si>
  <si>
    <t>Aporte de Ley de protección al trabajador (4,75%)</t>
  </si>
  <si>
    <t>Recaudación otras instituciones(7,25%)</t>
  </si>
  <si>
    <t>Total aporte patrono (26,5%)</t>
  </si>
  <si>
    <t>Operador de máquina 1</t>
  </si>
  <si>
    <t>Operador de máquina 2</t>
  </si>
  <si>
    <t>Operador de máquina 3</t>
  </si>
  <si>
    <t>Costos fijos y variables</t>
  </si>
  <si>
    <t>Costos fijos</t>
  </si>
  <si>
    <t>mensual</t>
  </si>
  <si>
    <t>anual</t>
  </si>
  <si>
    <t>Costos variables</t>
  </si>
  <si>
    <t>Alquiler del edificios</t>
  </si>
  <si>
    <t>Harina integral</t>
  </si>
  <si>
    <t>Salarios</t>
  </si>
  <si>
    <t>Suplemento de azucar</t>
  </si>
  <si>
    <t>Seguros</t>
  </si>
  <si>
    <t>Huevo</t>
  </si>
  <si>
    <t>Mantenimiento maquinaria y equipo</t>
  </si>
  <si>
    <t>Polvo de hornear</t>
  </si>
  <si>
    <t>Impuestos</t>
  </si>
  <si>
    <t>Mantequilla sin sal</t>
  </si>
  <si>
    <t>Gastos administrativos y de ventas</t>
  </si>
  <si>
    <t>Piña</t>
  </si>
  <si>
    <t>Materiales de oficina</t>
  </si>
  <si>
    <t>Coco</t>
  </si>
  <si>
    <t>Cemento</t>
  </si>
  <si>
    <t>₡1,020,000</t>
  </si>
  <si>
    <t>₡1,530,000</t>
  </si>
  <si>
    <t>Internet</t>
  </si>
  <si>
    <t>Mora</t>
  </si>
  <si>
    <t>Plastico</t>
  </si>
  <si>
    <t>₡3,360,000</t>
  </si>
  <si>
    <t>₡5,040,000</t>
  </si>
  <si>
    <t>Insumos de limpieza</t>
  </si>
  <si>
    <t>Frutos secos</t>
  </si>
  <si>
    <t>Arena</t>
  </si>
  <si>
    <t xml:space="preserve">Contador </t>
  </si>
  <si>
    <t>Combustible</t>
  </si>
  <si>
    <t>agua</t>
  </si>
  <si>
    <t>Publicidad</t>
  </si>
  <si>
    <t>Servicios públicos</t>
  </si>
  <si>
    <t>₡4,564,308</t>
  </si>
  <si>
    <t>₡6,846,462</t>
  </si>
  <si>
    <t>Comisiones</t>
  </si>
  <si>
    <t>Total costos fijos</t>
  </si>
  <si>
    <t>Total costos variables</t>
  </si>
  <si>
    <t>Por unidad</t>
  </si>
  <si>
    <t>Margen Bruto</t>
  </si>
  <si>
    <t>Costos variables galletas saladas</t>
  </si>
  <si>
    <t>Punto de equilibrio galletas saladas</t>
  </si>
  <si>
    <t>Costos variables galletas dulces</t>
  </si>
  <si>
    <t>Punto de equilibrio galletas dulces</t>
  </si>
  <si>
    <t>Costos variables galletas rellenas</t>
  </si>
  <si>
    <t>Punto de equilibrio galletas rellenas</t>
  </si>
  <si>
    <t>Total de costos</t>
  </si>
  <si>
    <t>Tasa de inflación</t>
  </si>
  <si>
    <t>Proyección de gastos</t>
  </si>
  <si>
    <t>Año 1</t>
  </si>
  <si>
    <t>Año 2</t>
  </si>
  <si>
    <t>Año 3</t>
  </si>
  <si>
    <t>Gastos Administrativos</t>
  </si>
  <si>
    <t xml:space="preserve">     Apertura de la empresa</t>
  </si>
  <si>
    <t xml:space="preserve">     Patentes</t>
  </si>
  <si>
    <t xml:space="preserve">     Arrendamiento</t>
  </si>
  <si>
    <t xml:space="preserve">Servicios publicos </t>
  </si>
  <si>
    <t xml:space="preserve">Publicidad de la empresa </t>
  </si>
  <si>
    <t xml:space="preserve">Gastos administartivos y de ventas </t>
  </si>
  <si>
    <t xml:space="preserve">     Planilla</t>
  </si>
  <si>
    <t xml:space="preserve">     Aporte Caja</t>
  </si>
  <si>
    <t xml:space="preserve">    Materiales de oficina</t>
  </si>
  <si>
    <t xml:space="preserve">     Insumos de limpieza</t>
  </si>
  <si>
    <t xml:space="preserve">     Contador</t>
  </si>
  <si>
    <t xml:space="preserve">Combustible </t>
  </si>
  <si>
    <t xml:space="preserve">     Mantenimiento maquinaria y equipo</t>
  </si>
  <si>
    <t>Galletas dulces</t>
  </si>
  <si>
    <t>Galletas rellenas</t>
  </si>
  <si>
    <t>Margen bruto</t>
  </si>
  <si>
    <t>Porcentaje</t>
  </si>
  <si>
    <t>Precio de venta unitario</t>
  </si>
  <si>
    <t>Merienda mixta 6 unidades</t>
  </si>
  <si>
    <t>Paquete escolar 12 unidades</t>
  </si>
  <si>
    <t>Merienda mixta de 18 unidades</t>
  </si>
  <si>
    <t>Caja de galletas de 50 unidades</t>
  </si>
  <si>
    <t>Galletas saladas</t>
  </si>
  <si>
    <t>Promedio de precios</t>
  </si>
  <si>
    <t>Promedio de costos</t>
  </si>
  <si>
    <t>Porcentaje esperado de participación</t>
  </si>
  <si>
    <t>Minisuper</t>
  </si>
  <si>
    <t>Ventas aprox del producto en locales</t>
  </si>
  <si>
    <t xml:space="preserve">Ventas esperadas por SaluCookies </t>
  </si>
  <si>
    <t>Periodo</t>
  </si>
  <si>
    <t xml:space="preserve">Paquetes individuales </t>
  </si>
  <si>
    <t>Paquetes escolares  12 unidades</t>
  </si>
  <si>
    <t>Meriendas mixtas de 6 unidades</t>
  </si>
  <si>
    <t>Meriendas mixtas de 18 unidades</t>
  </si>
  <si>
    <t>Cajas</t>
  </si>
  <si>
    <t>Crecimiento mensual primer año</t>
  </si>
  <si>
    <t xml:space="preserve">Paquetes escolares </t>
  </si>
  <si>
    <t>Crecimiento mensual segundo año</t>
  </si>
  <si>
    <t>Crecimiento mensual tercer año</t>
  </si>
  <si>
    <t>Supermercados</t>
  </si>
  <si>
    <t>Almacenes</t>
  </si>
  <si>
    <t>Total del primer año</t>
  </si>
  <si>
    <t>Locales propios</t>
  </si>
  <si>
    <t>Total del segundo año</t>
  </si>
  <si>
    <t>Total del tercer año</t>
  </si>
  <si>
    <t>Flujo de Efectivo SaluCookies  S.A Año 1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</si>
  <si>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</si>
  <si>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</si>
  <si>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</si>
  <si>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</si>
  <si>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</si>
  <si>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</si>
  <si>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</si>
  <si>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</si>
  <si>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</si>
  <si>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</si>
  <si>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</si>
  <si>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</si>
  <si>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Saldo del mes anterior</t>
  </si>
  <si>
    <t>Ingresos</t>
  </si>
  <si>
    <t>Capital Inicial</t>
  </si>
  <si>
    <t>Documentos por pagar</t>
  </si>
  <si>
    <t>Ingreso por paquetes individuales</t>
  </si>
  <si>
    <t>Ingreso por Paquetes escolares 12 unidades</t>
  </si>
  <si>
    <t>Ingreso por  Meriendas mixtas de 6 unidades</t>
  </si>
  <si>
    <t>Ingreso por  Meriendas mixtas de 18 unidades</t>
  </si>
  <si>
    <t xml:space="preserve">Ingreso por  Cajas </t>
  </si>
  <si>
    <t>Total Ingresos</t>
  </si>
  <si>
    <t>Egresos</t>
  </si>
  <si>
    <t>Costos Operativos</t>
  </si>
  <si>
    <t>Costo por paquete individual</t>
  </si>
  <si>
    <t>Costo por paquete escolar 12 unidades</t>
  </si>
  <si>
    <t>Cosoto por meriendas mixtas de 6 unidades</t>
  </si>
  <si>
    <t>Cosoto por meriendas mixtas de 18 unidades</t>
  </si>
  <si>
    <t>Costo por cajas de 50 unidades</t>
  </si>
  <si>
    <t>Gastos Financieros</t>
  </si>
  <si>
    <t xml:space="preserve">     Gasto por Intereses</t>
  </si>
  <si>
    <t xml:space="preserve">     Documentos por pagar</t>
  </si>
  <si>
    <t xml:space="preserve">     Impuesto de Ventas</t>
  </si>
  <si>
    <t>Total Egresos</t>
  </si>
  <si>
    <t>Saldo del mes</t>
  </si>
  <si>
    <t>Flujo de Efectivo SaluCookies  S.A Año 2</t>
  </si>
  <si>
    <t xml:space="preserve">Impuesto de renta </t>
  </si>
  <si>
    <t>Flujo de Efectivo SaluCookies  S.A Año 3</t>
  </si>
  <si>
    <t>Estado de Resultados SaluCookies S.A Año 1</t>
  </si>
  <si>
    <t>Estado de Resultados SaluCookies S.A Año 2</t>
  </si>
  <si>
    <t>Estado de Resultados SaluCookies S.A Año 3</t>
  </si>
  <si>
    <t>Ingreso por Ventas</t>
  </si>
  <si>
    <t>(-)Costo de Ventas</t>
  </si>
  <si>
    <t>(=) Utilidad Bruta</t>
  </si>
  <si>
    <t xml:space="preserve">(-) Gastos Administrativos </t>
  </si>
  <si>
    <t>(-)Gasto por Depreciación</t>
  </si>
  <si>
    <t>(=) UAII</t>
  </si>
  <si>
    <t>Intereses</t>
  </si>
  <si>
    <t>UAI</t>
  </si>
  <si>
    <t xml:space="preserve">(-)Impuesto de Renta </t>
  </si>
  <si>
    <t>Utilidad Neta</t>
  </si>
  <si>
    <t>Año</t>
  </si>
  <si>
    <t>Saldo Flujo de Efectivo</t>
  </si>
  <si>
    <t xml:space="preserve">Capital Inicial </t>
  </si>
  <si>
    <t>Costo de oportunidad</t>
  </si>
  <si>
    <t xml:space="preserve">VAN </t>
  </si>
  <si>
    <t>TIR</t>
  </si>
  <si>
    <t>Deuda Inicial</t>
  </si>
  <si>
    <t>Tasa Interés</t>
  </si>
  <si>
    <t xml:space="preserve">Amortización </t>
  </si>
  <si>
    <t>Pago</t>
  </si>
  <si>
    <t>Deuda Final</t>
  </si>
  <si>
    <t xml:space="preserve">Calculo del pago </t>
  </si>
  <si>
    <t xml:space="preserve">Pago </t>
  </si>
  <si>
    <t>Vida Util</t>
  </si>
  <si>
    <t xml:space="preserve">Valor residual </t>
  </si>
  <si>
    <t xml:space="preserve">Gasto por depreciacion anual </t>
  </si>
  <si>
    <t>Producto</t>
  </si>
  <si>
    <t xml:space="preserve">Precio </t>
  </si>
  <si>
    <t>Proveedor</t>
  </si>
  <si>
    <t>Provincia</t>
  </si>
  <si>
    <t>Direccion detalla</t>
  </si>
  <si>
    <t>N°  Telefonico</t>
  </si>
  <si>
    <t xml:space="preserve">1 saco de 50 K </t>
  </si>
  <si>
    <t xml:space="preserve">Molinos de Costa Rica S.A </t>
  </si>
  <si>
    <t>Heredia</t>
  </si>
  <si>
    <t>Del Mall Internacional 300 mt norte</t>
  </si>
  <si>
    <t>2209-8600</t>
  </si>
  <si>
    <t>3 kilo</t>
  </si>
  <si>
    <t>Seemko y Punto Medio</t>
  </si>
  <si>
    <t>San José</t>
  </si>
  <si>
    <t>https://www.seemko.cr/</t>
  </si>
  <si>
    <t>2235-3317</t>
  </si>
  <si>
    <t>1 caja(10 unidades)</t>
  </si>
  <si>
    <t>Jinca Foods</t>
  </si>
  <si>
    <t>Alajuela</t>
  </si>
  <si>
    <t>Tacorí de Alajuela, de la Escuela Luis Sibaja 200m este</t>
  </si>
  <si>
    <t>2440-1255</t>
  </si>
  <si>
    <t>Cartón (30 unidades)</t>
  </si>
  <si>
    <t>Distribuidora" Huevo Fresco"</t>
  </si>
  <si>
    <t>Costa Rica Tacacorí de Alajuela</t>
  </si>
  <si>
    <t>Sal</t>
  </si>
  <si>
    <t>1 saco de 25 Kg</t>
  </si>
  <si>
    <t>Conaprosal R.L</t>
  </si>
  <si>
    <t>300 metros norte de Pepsi frente a Metropark en Ofibodegas Barreal #4, Heredia, Costa Rica.</t>
  </si>
  <si>
    <t>2678-0106</t>
  </si>
  <si>
    <t>1 Caja</t>
  </si>
  <si>
    <t>Agricola Industrial Lydia S.A</t>
  </si>
  <si>
    <t>100 del Este Puente Sobre Rio 3 Amigos</t>
  </si>
  <si>
    <t xml:space="preserve"> 2473-2180</t>
  </si>
  <si>
    <t>1 Kilo</t>
  </si>
  <si>
    <t>Mayoreo Online Express</t>
  </si>
  <si>
    <t>Online</t>
  </si>
  <si>
    <t>https://www.mercadomayoreo.com/2-inicio</t>
  </si>
  <si>
    <t>8504-1731</t>
  </si>
  <si>
    <t>1 kilo de Almendra, 1 Kilo de Maní, 1 kilo de Nueces de Nagal, 1 kilo de Marañones, 1 Kilo de Quinoa</t>
  </si>
  <si>
    <t>Tienda nueces industriales</t>
  </si>
  <si>
    <t>Calle 58, Avenida 41, la Uruca</t>
  </si>
  <si>
    <t>6240-7777</t>
  </si>
  <si>
    <t xml:space="preserve">Monto a pagar </t>
  </si>
  <si>
    <t>Monto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</si>
</sst>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[$₡]#,##0.00"/>
    <numFmt numFmtId="165" formatCode="[$₡]#,##0"/>
    <numFmt numFmtId="166" formatCode="&quot;₡&quot;#,##0.00;[Red]\-&quot;₡&quot;#,##0.00"/>
    <numFmt numFmtId="167" formatCode="&quot;₡&quot;#,##0;[Red]\-&quot;₡&quot;#,##0"/>
    <numFmt numFmtId="168" formatCode="_-* #,##0_-;\-* #,##0_-;_-* &quot;-&quot;_-;_-@"/>
    <numFmt numFmtId="169" formatCode="_-&quot;₡&quot;* #,##0_-;\-&quot;₡&quot;* #,##0_-;_-&quot;₡&quot;* &quot;-&quot;??_-;_-@"/>
    <numFmt numFmtId="170" formatCode="&quot;₡&quot;#,##0"/>
    <numFmt numFmtId="171" formatCode="[$₡-140A]#,##0.00"/>
  </numFmts>
  <fonts count="42" x14ac:knownFonts="1">
    <font>
      <sz val="12"/>
      <color theme="1"/>
      <name val="Arial"/>
    </font>
    <font>
      <sz val="11"/>
      <color rgb="FFFFFFFF"/>
      <name val="Calibri"/>
      <family val="2"/>
    </font>
    <font>
      <b/>
      <sz val="12"/>
      <color rgb="FFFFFFFF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2"/>
      <color rgb="FF000000"/>
      <name val="Arial"/>
      <family val="2"/>
    </font>
    <font>
      <sz val="12"/>
      <color rgb="FFFFFFFF"/>
      <name val="Arial"/>
      <family val="2"/>
    </font>
    <font>
      <b/>
      <sz val="12"/>
      <color rgb="FFF3F3F3"/>
      <name val="Arial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b/>
      <sz val="14"/>
      <color rgb="FFFFFFFF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</font>
    <font>
      <sz val="11"/>
      <color rgb="FF000000"/>
      <name val="Arial"/>
      <family val="2"/>
    </font>
    <font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b/>
      <sz val="20"/>
      <color rgb="FFFFFFFF"/>
      <name val="Calibri"/>
      <family val="2"/>
    </font>
    <font>
      <b/>
      <i/>
      <sz val="11"/>
      <color rgb="FFFFFFFF"/>
      <name val="Calibri"/>
      <family val="2"/>
    </font>
    <font>
      <i/>
      <sz val="11"/>
      <color theme="1"/>
      <name val="Calibri"/>
      <family val="2"/>
    </font>
    <font>
      <sz val="11"/>
      <name val="Calibri"/>
      <family val="2"/>
    </font>
    <font>
      <b/>
      <u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2"/>
      <color rgb="FF333333"/>
      <name val="Calibri"/>
      <family val="2"/>
    </font>
    <font>
      <u/>
      <sz val="12"/>
      <color rgb="FF0000FF"/>
      <name val="Arial"/>
      <family val="2"/>
    </font>
    <font>
      <sz val="11"/>
      <color rgb="FF1C1E21"/>
      <name val="Calibri"/>
      <family val="2"/>
    </font>
    <font>
      <sz val="12"/>
      <color rgb="FF222222"/>
      <name val="Calibri"/>
      <family val="2"/>
    </font>
    <font>
      <u/>
      <sz val="12"/>
      <color rgb="FF0000FF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9FC5E8"/>
        <bgColor rgb="FF9FC5E8"/>
      </patternFill>
    </fill>
    <fill>
      <patternFill patternType="solid">
        <fgColor rgb="FF5DBCD2"/>
        <bgColor rgb="FF5DBCD2"/>
      </patternFill>
    </fill>
    <fill>
      <patternFill patternType="solid">
        <fgColor rgb="FF6786B8"/>
        <bgColor rgb="FF6786B8"/>
      </patternFill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1E4E79"/>
        <bgColor rgb="FF1E4E79"/>
      </patternFill>
    </fill>
    <fill>
      <patternFill patternType="solid">
        <fgColor rgb="FF2F5496"/>
        <bgColor rgb="FF2F5496"/>
      </patternFill>
    </fill>
    <fill>
      <patternFill patternType="solid">
        <fgColor rgb="FFD9E2F3"/>
        <bgColor rgb="FFD9E2F3"/>
      </patternFill>
    </fill>
    <fill>
      <patternFill patternType="solid">
        <fgColor rgb="FFCFE2F3"/>
        <bgColor rgb="FFCFE2F3"/>
      </patternFill>
    </fill>
    <fill>
      <patternFill patternType="solid">
        <fgColor rgb="FFBDD7EE"/>
        <bgColor rgb="FFBDD7EE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35" fillId="0" borderId="13"/>
  </cellStyleXfs>
  <cellXfs count="196">
    <xf numFmtId="0" fontId="0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 vertical="center"/>
    </xf>
    <xf numFmtId="0" fontId="4" fillId="0" borderId="4" xfId="0" applyFont="1" applyBorder="1"/>
    <xf numFmtId="0" fontId="4" fillId="0" borderId="4" xfId="0" applyFont="1" applyBorder="1" applyAlignment="1">
      <alignment horizontal="center"/>
    </xf>
    <xf numFmtId="0" fontId="5" fillId="0" borderId="4" xfId="0" applyFont="1" applyBorder="1"/>
    <xf numFmtId="0" fontId="0" fillId="0" borderId="4" xfId="0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0" borderId="4" xfId="0" applyFont="1" applyBorder="1"/>
    <xf numFmtId="0" fontId="6" fillId="0" borderId="4" xfId="0" applyFont="1" applyBorder="1" applyAlignment="1">
      <alignment horizontal="center"/>
    </xf>
    <xf numFmtId="4" fontId="6" fillId="0" borderId="4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4" fontId="7" fillId="3" borderId="4" xfId="0" applyNumberFormat="1" applyFont="1" applyFill="1" applyBorder="1" applyAlignment="1">
      <alignment horizontal="center"/>
    </xf>
    <xf numFmtId="0" fontId="5" fillId="3" borderId="4" xfId="0" applyFont="1" applyFill="1" applyBorder="1"/>
    <xf numFmtId="0" fontId="8" fillId="2" borderId="4" xfId="0" applyFont="1" applyFill="1" applyBorder="1" applyAlignment="1">
      <alignment horizontal="center"/>
    </xf>
    <xf numFmtId="4" fontId="8" fillId="2" borderId="4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wrapText="1"/>
    </xf>
    <xf numFmtId="164" fontId="0" fillId="0" borderId="4" xfId="0" applyNumberFormat="1" applyFont="1" applyBorder="1"/>
    <xf numFmtId="165" fontId="0" fillId="0" borderId="4" xfId="0" applyNumberFormat="1" applyFont="1" applyBorder="1"/>
    <xf numFmtId="165" fontId="0" fillId="0" borderId="4" xfId="0" applyNumberFormat="1" applyFont="1" applyBorder="1" applyAlignment="1">
      <alignment horizontal="center"/>
    </xf>
    <xf numFmtId="0" fontId="2" fillId="4" borderId="4" xfId="0" applyFont="1" applyFill="1" applyBorder="1"/>
    <xf numFmtId="164" fontId="2" fillId="4" borderId="4" xfId="0" applyNumberFormat="1" applyFont="1" applyFill="1" applyBorder="1"/>
    <xf numFmtId="0" fontId="9" fillId="4" borderId="4" xfId="0" applyFont="1" applyFill="1" applyBorder="1" applyAlignment="1">
      <alignment horizontal="center" wrapText="1"/>
    </xf>
    <xf numFmtId="0" fontId="10" fillId="0" borderId="0" xfId="0" applyFont="1" applyAlignment="1">
      <alignment wrapText="1"/>
    </xf>
    <xf numFmtId="0" fontId="2" fillId="2" borderId="4" xfId="0" applyFont="1" applyFill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165" fontId="0" fillId="0" borderId="4" xfId="0" applyNumberFormat="1" applyFont="1" applyBorder="1" applyAlignment="1">
      <alignment horizontal="center" wrapText="1"/>
    </xf>
    <xf numFmtId="165" fontId="5" fillId="0" borderId="4" xfId="0" applyNumberFormat="1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165" fontId="5" fillId="0" borderId="4" xfId="0" applyNumberFormat="1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12" fillId="0" borderId="0" xfId="0" applyFont="1" applyAlignment="1">
      <alignment horizontal="center" wrapText="1"/>
    </xf>
    <xf numFmtId="0" fontId="0" fillId="0" borderId="0" xfId="0" applyFont="1" applyAlignment="1">
      <alignment horizontal="right" wrapText="1"/>
    </xf>
    <xf numFmtId="165" fontId="0" fillId="0" borderId="4" xfId="0" applyNumberFormat="1" applyFont="1" applyBorder="1" applyAlignment="1">
      <alignment horizontal="center" vertical="center" wrapText="1"/>
    </xf>
    <xf numFmtId="166" fontId="12" fillId="0" borderId="0" xfId="0" applyNumberFormat="1" applyFont="1" applyAlignment="1">
      <alignment horizontal="center" wrapText="1"/>
    </xf>
    <xf numFmtId="166" fontId="0" fillId="0" borderId="0" xfId="0" applyNumberFormat="1" applyFont="1" applyAlignment="1">
      <alignment horizontal="right" wrapText="1"/>
    </xf>
    <xf numFmtId="0" fontId="13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0" fillId="0" borderId="4" xfId="0" applyFont="1" applyBorder="1" applyAlignment="1">
      <alignment wrapText="1"/>
    </xf>
    <xf numFmtId="165" fontId="0" fillId="0" borderId="4" xfId="0" applyNumberFormat="1" applyFont="1" applyBorder="1" applyAlignment="1">
      <alignment wrapText="1"/>
    </xf>
    <xf numFmtId="0" fontId="14" fillId="0" borderId="4" xfId="0" applyFont="1" applyBorder="1"/>
    <xf numFmtId="165" fontId="10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165" fontId="4" fillId="0" borderId="0" xfId="0" applyNumberFormat="1" applyFont="1" applyAlignment="1">
      <alignment horizontal="right" wrapText="1"/>
    </xf>
    <xf numFmtId="0" fontId="0" fillId="0" borderId="0" xfId="0" applyFont="1" applyAlignment="1">
      <alignment wrapText="1"/>
    </xf>
    <xf numFmtId="165" fontId="0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165" fontId="0" fillId="0" borderId="0" xfId="0" applyNumberFormat="1" applyFont="1" applyAlignment="1">
      <alignment horizontal="right" wrapText="1"/>
    </xf>
    <xf numFmtId="9" fontId="0" fillId="0" borderId="0" xfId="0" applyNumberFormat="1" applyFont="1" applyAlignment="1">
      <alignment horizontal="right" wrapText="1"/>
    </xf>
    <xf numFmtId="165" fontId="0" fillId="0" borderId="0" xfId="0" applyNumberFormat="1" applyFont="1"/>
    <xf numFmtId="165" fontId="5" fillId="0" borderId="0" xfId="0" applyNumberFormat="1" applyFont="1" applyAlignment="1">
      <alignment horizontal="right" wrapText="1"/>
    </xf>
    <xf numFmtId="166" fontId="12" fillId="0" borderId="0" xfId="0" applyNumberFormat="1" applyFont="1" applyAlignment="1">
      <alignment horizontal="right" wrapText="1"/>
    </xf>
    <xf numFmtId="9" fontId="12" fillId="0" borderId="0" xfId="0" applyNumberFormat="1" applyFont="1" applyAlignment="1">
      <alignment horizontal="right" wrapText="1"/>
    </xf>
    <xf numFmtId="166" fontId="11" fillId="0" borderId="0" xfId="0" applyNumberFormat="1" applyFont="1" applyAlignment="1">
      <alignment horizontal="right" wrapText="1"/>
    </xf>
    <xf numFmtId="167" fontId="0" fillId="0" borderId="0" xfId="0" applyNumberFormat="1" applyFont="1" applyAlignment="1">
      <alignment horizontal="right" wrapText="1"/>
    </xf>
    <xf numFmtId="0" fontId="5" fillId="0" borderId="0" xfId="0" applyFont="1" applyAlignment="1">
      <alignment wrapText="1"/>
    </xf>
    <xf numFmtId="0" fontId="15" fillId="2" borderId="5" xfId="0" applyFont="1" applyFill="1" applyBorder="1"/>
    <xf numFmtId="0" fontId="0" fillId="0" borderId="1" xfId="0" applyFont="1" applyBorder="1"/>
    <xf numFmtId="0" fontId="2" fillId="2" borderId="7" xfId="0" applyFont="1" applyFill="1" applyBorder="1"/>
    <xf numFmtId="0" fontId="2" fillId="2" borderId="7" xfId="0" applyFont="1" applyFill="1" applyBorder="1" applyAlignment="1">
      <alignment horizontal="center"/>
    </xf>
    <xf numFmtId="168" fontId="4" fillId="0" borderId="8" xfId="0" applyNumberFormat="1" applyFont="1" applyBorder="1" applyAlignment="1">
      <alignment horizontal="left"/>
    </xf>
    <xf numFmtId="169" fontId="10" fillId="0" borderId="4" xfId="0" applyNumberFormat="1" applyFont="1" applyBorder="1"/>
    <xf numFmtId="169" fontId="0" fillId="0" borderId="4" xfId="0" applyNumberFormat="1" applyFont="1" applyBorder="1"/>
    <xf numFmtId="2" fontId="0" fillId="0" borderId="1" xfId="0" applyNumberFormat="1" applyFont="1" applyBorder="1"/>
    <xf numFmtId="2" fontId="0" fillId="0" borderId="4" xfId="0" applyNumberFormat="1" applyFont="1" applyBorder="1"/>
    <xf numFmtId="0" fontId="2" fillId="5" borderId="4" xfId="0" applyFont="1" applyFill="1" applyBorder="1"/>
    <xf numFmtId="10" fontId="0" fillId="0" borderId="4" xfId="0" applyNumberFormat="1" applyFont="1" applyBorder="1"/>
    <xf numFmtId="0" fontId="2" fillId="5" borderId="9" xfId="0" applyFont="1" applyFill="1" applyBorder="1"/>
    <xf numFmtId="0" fontId="2" fillId="6" borderId="0" xfId="0" applyFont="1" applyFill="1"/>
    <xf numFmtId="0" fontId="17" fillId="2" borderId="4" xfId="0" applyFont="1" applyFill="1" applyBorder="1"/>
    <xf numFmtId="169" fontId="17" fillId="2" borderId="4" xfId="0" applyNumberFormat="1" applyFont="1" applyFill="1" applyBorder="1"/>
    <xf numFmtId="0" fontId="12" fillId="0" borderId="4" xfId="0" applyFont="1" applyBorder="1"/>
    <xf numFmtId="9" fontId="5" fillId="0" borderId="10" xfId="0" applyNumberFormat="1" applyFont="1" applyBorder="1" applyAlignment="1"/>
    <xf numFmtId="0" fontId="19" fillId="0" borderId="4" xfId="0" applyFont="1" applyBorder="1"/>
    <xf numFmtId="9" fontId="0" fillId="0" borderId="4" xfId="0" applyNumberFormat="1" applyFont="1" applyBorder="1"/>
    <xf numFmtId="1" fontId="12" fillId="0" borderId="4" xfId="0" applyNumberFormat="1" applyFont="1" applyBorder="1"/>
    <xf numFmtId="9" fontId="5" fillId="0" borderId="4" xfId="0" applyNumberFormat="1" applyFont="1" applyBorder="1" applyAlignment="1"/>
    <xf numFmtId="0" fontId="20" fillId="0" borderId="0" xfId="0" applyFont="1"/>
    <xf numFmtId="0" fontId="12" fillId="0" borderId="0" xfId="0" applyFont="1"/>
    <xf numFmtId="0" fontId="21" fillId="2" borderId="4" xfId="0" applyFont="1" applyFill="1" applyBorder="1" applyAlignment="1"/>
    <xf numFmtId="1" fontId="14" fillId="0" borderId="4" xfId="0" applyNumberFormat="1" applyFont="1" applyBorder="1"/>
    <xf numFmtId="0" fontId="23" fillId="0" borderId="0" xfId="0" applyFont="1" applyAlignment="1"/>
    <xf numFmtId="0" fontId="3" fillId="0" borderId="0" xfId="0" applyFont="1" applyAlignment="1"/>
    <xf numFmtId="9" fontId="8" fillId="2" borderId="4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10" fontId="5" fillId="7" borderId="4" xfId="0" applyNumberFormat="1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/>
    </xf>
    <xf numFmtId="1" fontId="17" fillId="2" borderId="4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168" fontId="10" fillId="2" borderId="4" xfId="0" applyNumberFormat="1" applyFont="1" applyFill="1" applyBorder="1"/>
    <xf numFmtId="168" fontId="25" fillId="2" borderId="4" xfId="0" applyNumberFormat="1" applyFont="1" applyFill="1" applyBorder="1"/>
    <xf numFmtId="168" fontId="26" fillId="0" borderId="4" xfId="0" applyNumberFormat="1" applyFont="1" applyBorder="1"/>
    <xf numFmtId="168" fontId="27" fillId="0" borderId="4" xfId="0" applyNumberFormat="1" applyFont="1" applyBorder="1" applyAlignment="1">
      <alignment horizontal="center"/>
    </xf>
    <xf numFmtId="168" fontId="10" fillId="0" borderId="4" xfId="0" applyNumberFormat="1" applyFont="1" applyBorder="1" applyAlignment="1">
      <alignment horizontal="center"/>
    </xf>
    <xf numFmtId="168" fontId="28" fillId="0" borderId="4" xfId="0" applyNumberFormat="1" applyFont="1" applyBorder="1"/>
    <xf numFmtId="168" fontId="10" fillId="0" borderId="4" xfId="0" applyNumberFormat="1" applyFont="1" applyBorder="1"/>
    <xf numFmtId="168" fontId="29" fillId="0" borderId="4" xfId="0" applyNumberFormat="1" applyFont="1" applyBorder="1" applyAlignment="1">
      <alignment horizontal="center"/>
    </xf>
    <xf numFmtId="168" fontId="23" fillId="6" borderId="4" xfId="0" applyNumberFormat="1" applyFont="1" applyFill="1" applyBorder="1"/>
    <xf numFmtId="170" fontId="25" fillId="2" borderId="4" xfId="0" applyNumberFormat="1" applyFont="1" applyFill="1" applyBorder="1" applyAlignment="1">
      <alignment horizontal="center"/>
    </xf>
    <xf numFmtId="168" fontId="1" fillId="2" borderId="4" xfId="0" applyNumberFormat="1" applyFont="1" applyFill="1" applyBorder="1" applyAlignment="1">
      <alignment horizontal="center"/>
    </xf>
    <xf numFmtId="168" fontId="30" fillId="0" borderId="4" xfId="0" applyNumberFormat="1" applyFont="1" applyBorder="1"/>
    <xf numFmtId="168" fontId="31" fillId="0" borderId="4" xfId="0" applyNumberFormat="1" applyFont="1" applyBorder="1" applyAlignment="1"/>
    <xf numFmtId="168" fontId="32" fillId="0" borderId="4" xfId="0" applyNumberFormat="1" applyFont="1" applyBorder="1" applyAlignment="1"/>
    <xf numFmtId="168" fontId="32" fillId="0" borderId="4" xfId="0" applyNumberFormat="1" applyFont="1" applyBorder="1"/>
    <xf numFmtId="0" fontId="23" fillId="0" borderId="4" xfId="0" applyFont="1" applyBorder="1"/>
    <xf numFmtId="168" fontId="33" fillId="2" borderId="4" xfId="0" applyNumberFormat="1" applyFont="1" applyFill="1" applyBorder="1"/>
    <xf numFmtId="170" fontId="33" fillId="2" borderId="4" xfId="0" applyNumberFormat="1" applyFont="1" applyFill="1" applyBorder="1" applyAlignment="1">
      <alignment horizontal="center"/>
    </xf>
    <xf numFmtId="168" fontId="33" fillId="2" borderId="4" xfId="0" applyNumberFormat="1" applyFont="1" applyFill="1" applyBorder="1" applyAlignment="1">
      <alignment horizontal="center"/>
    </xf>
    <xf numFmtId="165" fontId="0" fillId="0" borderId="4" xfId="0" applyNumberFormat="1" applyFont="1" applyBorder="1" applyAlignment="1">
      <alignment horizontal="right"/>
    </xf>
    <xf numFmtId="165" fontId="5" fillId="0" borderId="4" xfId="0" applyNumberFormat="1" applyFont="1" applyBorder="1" applyAlignment="1">
      <alignment horizontal="right"/>
    </xf>
    <xf numFmtId="0" fontId="5" fillId="0" borderId="4" xfId="0" applyFont="1" applyBorder="1" applyAlignment="1"/>
    <xf numFmtId="165" fontId="2" fillId="5" borderId="4" xfId="0" applyNumberFormat="1" applyFont="1" applyFill="1" applyBorder="1" applyAlignment="1">
      <alignment horizontal="right"/>
    </xf>
    <xf numFmtId="0" fontId="22" fillId="8" borderId="0" xfId="0" applyFont="1" applyFill="1" applyAlignment="1">
      <alignment horizontal="center"/>
    </xf>
    <xf numFmtId="0" fontId="22" fillId="8" borderId="4" xfId="0" applyFont="1" applyFill="1" applyBorder="1" applyAlignment="1">
      <alignment horizontal="center"/>
    </xf>
    <xf numFmtId="0" fontId="10" fillId="0" borderId="0" xfId="0" applyFont="1" applyAlignment="1"/>
    <xf numFmtId="0" fontId="10" fillId="0" borderId="4" xfId="0" applyFont="1" applyBorder="1" applyAlignment="1"/>
    <xf numFmtId="0" fontId="10" fillId="0" borderId="4" xfId="0" applyFont="1" applyBorder="1" applyAlignment="1">
      <alignment horizontal="center"/>
    </xf>
    <xf numFmtId="0" fontId="22" fillId="8" borderId="4" xfId="0" applyFont="1" applyFill="1" applyBorder="1" applyAlignment="1"/>
    <xf numFmtId="9" fontId="11" fillId="0" borderId="4" xfId="0" applyNumberFormat="1" applyFont="1" applyBorder="1" applyAlignment="1">
      <alignment horizontal="center"/>
    </xf>
    <xf numFmtId="170" fontId="10" fillId="0" borderId="4" xfId="0" applyNumberFormat="1" applyFont="1" applyBorder="1" applyAlignment="1">
      <alignment horizontal="center"/>
    </xf>
    <xf numFmtId="170" fontId="10" fillId="0" borderId="4" xfId="0" applyNumberFormat="1" applyFont="1" applyBorder="1" applyAlignment="1">
      <alignment horizontal="center"/>
    </xf>
    <xf numFmtId="0" fontId="33" fillId="8" borderId="4" xfId="0" applyFont="1" applyFill="1" applyBorder="1" applyAlignment="1">
      <alignment horizontal="center"/>
    </xf>
    <xf numFmtId="165" fontId="33" fillId="8" borderId="4" xfId="0" applyNumberFormat="1" applyFont="1" applyFill="1" applyBorder="1" applyAlignment="1">
      <alignment horizontal="center"/>
    </xf>
    <xf numFmtId="9" fontId="33" fillId="8" borderId="4" xfId="0" applyNumberFormat="1" applyFont="1" applyFill="1" applyBorder="1" applyAlignment="1">
      <alignment horizontal="center"/>
    </xf>
    <xf numFmtId="0" fontId="34" fillId="8" borderId="5" xfId="0" applyFont="1" applyFill="1" applyBorder="1" applyAlignment="1">
      <alignment horizontal="center"/>
    </xf>
    <xf numFmtId="170" fontId="34" fillId="8" borderId="4" xfId="0" applyNumberFormat="1" applyFont="1" applyFill="1" applyBorder="1" applyAlignment="1">
      <alignment horizontal="center"/>
    </xf>
    <xf numFmtId="168" fontId="34" fillId="8" borderId="4" xfId="0" applyNumberFormat="1" applyFont="1" applyFill="1" applyBorder="1" applyAlignment="1">
      <alignment horizontal="center"/>
    </xf>
    <xf numFmtId="170" fontId="34" fillId="8" borderId="14" xfId="0" applyNumberFormat="1" applyFont="1" applyFill="1" applyBorder="1" applyAlignment="1">
      <alignment horizontal="center"/>
    </xf>
    <xf numFmtId="0" fontId="10" fillId="0" borderId="0" xfId="0" applyFont="1"/>
    <xf numFmtId="0" fontId="10" fillId="10" borderId="4" xfId="0" applyFont="1" applyFill="1" applyBorder="1" applyAlignment="1">
      <alignment horizontal="center"/>
    </xf>
    <xf numFmtId="0" fontId="29" fillId="10" borderId="4" xfId="0" applyFont="1" applyFill="1" applyBorder="1" applyAlignment="1">
      <alignment horizontal="center"/>
    </xf>
    <xf numFmtId="9" fontId="10" fillId="10" borderId="4" xfId="0" applyNumberFormat="1" applyFont="1" applyFill="1" applyBorder="1" applyAlignment="1">
      <alignment horizontal="center"/>
    </xf>
    <xf numFmtId="171" fontId="10" fillId="10" borderId="4" xfId="0" applyNumberFormat="1" applyFont="1" applyFill="1" applyBorder="1" applyAlignment="1">
      <alignment horizontal="center"/>
    </xf>
    <xf numFmtId="0" fontId="10" fillId="10" borderId="4" xfId="0" applyFont="1" applyFill="1" applyBorder="1"/>
    <xf numFmtId="171" fontId="10" fillId="10" borderId="4" xfId="0" applyNumberFormat="1" applyFont="1" applyFill="1" applyBorder="1" applyAlignment="1">
      <alignment horizontal="right"/>
    </xf>
    <xf numFmtId="9" fontId="29" fillId="10" borderId="4" xfId="0" applyNumberFormat="1" applyFont="1" applyFill="1" applyBorder="1" applyAlignment="1">
      <alignment horizontal="center"/>
    </xf>
    <xf numFmtId="0" fontId="22" fillId="2" borderId="4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/>
    </xf>
    <xf numFmtId="4" fontId="0" fillId="11" borderId="4" xfId="0" applyNumberFormat="1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1" fontId="0" fillId="11" borderId="4" xfId="0" applyNumberFormat="1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1" fontId="17" fillId="2" borderId="4" xfId="0" applyNumberFormat="1" applyFont="1" applyFill="1" applyBorder="1" applyAlignment="1">
      <alignment horizontal="center"/>
    </xf>
    <xf numFmtId="0" fontId="29" fillId="0" borderId="13" xfId="1" applyFont="1" applyAlignment="1"/>
    <xf numFmtId="0" fontId="35" fillId="0" borderId="13" xfId="1" applyFont="1" applyAlignment="1"/>
    <xf numFmtId="0" fontId="36" fillId="12" borderId="4" xfId="1" applyFont="1" applyFill="1" applyBorder="1" applyAlignment="1">
      <alignment horizontal="center"/>
    </xf>
    <xf numFmtId="0" fontId="36" fillId="12" borderId="3" xfId="1" applyFont="1" applyFill="1" applyBorder="1" applyAlignment="1">
      <alignment horizontal="center"/>
    </xf>
    <xf numFmtId="0" fontId="11" fillId="11" borderId="3" xfId="1" applyFont="1" applyFill="1" applyBorder="1" applyAlignment="1">
      <alignment horizontal="center"/>
    </xf>
    <xf numFmtId="0" fontId="11" fillId="11" borderId="4" xfId="1" applyFont="1" applyFill="1" applyBorder="1" applyAlignment="1">
      <alignment horizontal="center"/>
    </xf>
    <xf numFmtId="0" fontId="29" fillId="0" borderId="10" xfId="1" applyFont="1" applyBorder="1" applyAlignment="1">
      <alignment horizontal="center"/>
    </xf>
    <xf numFmtId="0" fontId="29" fillId="0" borderId="15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12" fillId="0" borderId="4" xfId="1" applyFont="1" applyBorder="1" applyAlignment="1"/>
    <xf numFmtId="0" fontId="37" fillId="6" borderId="4" xfId="1" applyFont="1" applyFill="1" applyBorder="1" applyAlignment="1">
      <alignment horizontal="center"/>
    </xf>
    <xf numFmtId="0" fontId="38" fillId="0" borderId="13" xfId="1" applyFont="1" applyAlignment="1"/>
    <xf numFmtId="0" fontId="12" fillId="0" borderId="4" xfId="1" applyFont="1" applyBorder="1" applyAlignment="1">
      <alignment horizontal="center"/>
    </xf>
    <xf numFmtId="0" fontId="39" fillId="6" borderId="4" xfId="1" applyFont="1" applyFill="1" applyBorder="1" applyAlignment="1">
      <alignment horizontal="center"/>
    </xf>
    <xf numFmtId="0" fontId="40" fillId="6" borderId="13" xfId="1" applyFont="1" applyFill="1" applyAlignment="1"/>
    <xf numFmtId="0" fontId="29" fillId="6" borderId="13" xfId="1" applyFont="1" applyFill="1" applyAlignment="1">
      <alignment horizontal="center"/>
    </xf>
    <xf numFmtId="0" fontId="23" fillId="6" borderId="4" xfId="1" applyFont="1" applyFill="1" applyBorder="1" applyAlignment="1">
      <alignment horizontal="center"/>
    </xf>
    <xf numFmtId="0" fontId="41" fillId="0" borderId="13" xfId="1" applyFont="1" applyAlignment="1"/>
    <xf numFmtId="0" fontId="29" fillId="0" borderId="15" xfId="1" applyFont="1" applyBorder="1" applyAlignment="1">
      <alignment horizontal="center" wrapText="1"/>
    </xf>
    <xf numFmtId="0" fontId="35" fillId="0" borderId="0" xfId="0" applyFont="1" applyAlignment="1"/>
    <xf numFmtId="0" fontId="29" fillId="0" borderId="15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2" borderId="1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/>
    </xf>
    <xf numFmtId="0" fontId="3" fillId="0" borderId="6" xfId="0" applyFont="1" applyBorder="1"/>
    <xf numFmtId="0" fontId="22" fillId="0" borderId="0" xfId="0" applyFont="1" applyAlignment="1">
      <alignment horizontal="center"/>
    </xf>
    <xf numFmtId="0" fontId="0" fillId="0" borderId="0" xfId="0" applyFont="1" applyAlignment="1"/>
    <xf numFmtId="0" fontId="18" fillId="2" borderId="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168" fontId="24" fillId="2" borderId="11" xfId="0" applyNumberFormat="1" applyFont="1" applyFill="1" applyBorder="1" applyAlignment="1">
      <alignment horizontal="center"/>
    </xf>
    <xf numFmtId="0" fontId="3" fillId="0" borderId="12" xfId="0" applyFont="1" applyBorder="1"/>
    <xf numFmtId="0" fontId="3" fillId="0" borderId="13" xfId="0" applyFont="1" applyBorder="1"/>
    <xf numFmtId="0" fontId="2" fillId="2" borderId="11" xfId="0" applyFont="1" applyFill="1" applyBorder="1" applyAlignment="1">
      <alignment horizontal="center"/>
    </xf>
    <xf numFmtId="170" fontId="33" fillId="9" borderId="1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200025</xdr:colOff>
      <xdr:row>0</xdr:row>
      <xdr:rowOff>114300</xdr:rowOff>
    </xdr:from>
    <xdr:ext cx="1495425" cy="666750"/>
    <xdr:sp macro="" textlink="">
      <xdr:nvSpPr>
        <xdr:cNvPr id="3" name="Shape 3"/>
        <xdr:cNvSpPr/>
      </xdr:nvSpPr>
      <xdr:spPr>
        <a:xfrm>
          <a:off x="4603050" y="3451388"/>
          <a:ext cx="1485900" cy="657225"/>
        </a:xfrm>
        <a:prstGeom prst="ellipse">
          <a:avLst/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SaluCookies</a:t>
          </a:r>
          <a:endParaRPr sz="1400"/>
        </a:p>
      </xdr:txBody>
    </xdr:sp>
    <xdr:clientData fLocksWithSheet="0"/>
  </xdr:oneCellAnchor>
  <xdr:oneCellAnchor>
    <xdr:from>
      <xdr:col>1</xdr:col>
      <xdr:colOff>962025</xdr:colOff>
      <xdr:row>11</xdr:row>
      <xdr:rowOff>9525</xdr:rowOff>
    </xdr:from>
    <xdr:ext cx="1362075" cy="504825"/>
    <xdr:sp macro="" textlink="">
      <xdr:nvSpPr>
        <xdr:cNvPr id="4" name="Shape 4"/>
        <xdr:cNvSpPr/>
      </xdr:nvSpPr>
      <xdr:spPr>
        <a:xfrm>
          <a:off x="4669725" y="3532350"/>
          <a:ext cx="1352550" cy="49530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Propios</a:t>
          </a:r>
          <a:endParaRPr sz="1400"/>
        </a:p>
      </xdr:txBody>
    </xdr:sp>
    <xdr:clientData fLocksWithSheet="0"/>
  </xdr:oneCellAnchor>
  <xdr:oneCellAnchor>
    <xdr:from>
      <xdr:col>5</xdr:col>
      <xdr:colOff>276225</xdr:colOff>
      <xdr:row>5</xdr:row>
      <xdr:rowOff>152400</xdr:rowOff>
    </xdr:from>
    <xdr:ext cx="1352550" cy="523875"/>
    <xdr:sp macro="" textlink="">
      <xdr:nvSpPr>
        <xdr:cNvPr id="5" name="Shape 5"/>
        <xdr:cNvSpPr/>
      </xdr:nvSpPr>
      <xdr:spPr>
        <a:xfrm>
          <a:off x="4674488" y="3522825"/>
          <a:ext cx="1343025" cy="5143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Puntos de ventas</a:t>
          </a:r>
          <a:endParaRPr sz="1400"/>
        </a:p>
      </xdr:txBody>
    </xdr:sp>
    <xdr:clientData fLocksWithSheet="0"/>
  </xdr:oneCellAnchor>
  <xdr:oneCellAnchor>
    <xdr:from>
      <xdr:col>4</xdr:col>
      <xdr:colOff>85725</xdr:colOff>
      <xdr:row>11</xdr:row>
      <xdr:rowOff>19050</xdr:rowOff>
    </xdr:from>
    <xdr:ext cx="1352550" cy="504825"/>
    <xdr:sp macro="" textlink="">
      <xdr:nvSpPr>
        <xdr:cNvPr id="6" name="Shape 6"/>
        <xdr:cNvSpPr/>
      </xdr:nvSpPr>
      <xdr:spPr>
        <a:xfrm>
          <a:off x="4674488" y="3532350"/>
          <a:ext cx="1343025" cy="49530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Mini super</a:t>
          </a:r>
          <a:endParaRPr sz="1100"/>
        </a:p>
      </xdr:txBody>
    </xdr:sp>
    <xdr:clientData fLocksWithSheet="0"/>
  </xdr:oneCellAnchor>
  <xdr:oneCellAnchor>
    <xdr:from>
      <xdr:col>6</xdr:col>
      <xdr:colOff>361950</xdr:colOff>
      <xdr:row>10</xdr:row>
      <xdr:rowOff>123825</xdr:rowOff>
    </xdr:from>
    <xdr:ext cx="1352550" cy="523875"/>
    <xdr:sp macro="" textlink="">
      <xdr:nvSpPr>
        <xdr:cNvPr id="7" name="Shape 7"/>
        <xdr:cNvSpPr/>
      </xdr:nvSpPr>
      <xdr:spPr>
        <a:xfrm>
          <a:off x="4674488" y="3522825"/>
          <a:ext cx="1343025" cy="51435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Supermercados</a:t>
          </a:r>
          <a:endParaRPr sz="1400"/>
        </a:p>
      </xdr:txBody>
    </xdr:sp>
    <xdr:clientData fLocksWithSheet="0"/>
  </xdr:oneCellAnchor>
  <xdr:oneCellAnchor>
    <xdr:from>
      <xdr:col>9</xdr:col>
      <xdr:colOff>0</xdr:colOff>
      <xdr:row>11</xdr:row>
      <xdr:rowOff>9525</xdr:rowOff>
    </xdr:from>
    <xdr:ext cx="1352550" cy="504825"/>
    <xdr:sp macro="" textlink="">
      <xdr:nvSpPr>
        <xdr:cNvPr id="8" name="Shape 8"/>
        <xdr:cNvSpPr/>
      </xdr:nvSpPr>
      <xdr:spPr>
        <a:xfrm>
          <a:off x="4674488" y="3532350"/>
          <a:ext cx="1343025" cy="49530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Almacenes</a:t>
          </a:r>
          <a:endParaRPr sz="1400"/>
        </a:p>
      </xdr:txBody>
    </xdr:sp>
    <xdr:clientData fLocksWithSheet="0"/>
  </xdr:oneCellAnchor>
  <xdr:oneCellAnchor>
    <xdr:from>
      <xdr:col>1</xdr:col>
      <xdr:colOff>742950</xdr:colOff>
      <xdr:row>16</xdr:row>
      <xdr:rowOff>123825</xdr:rowOff>
    </xdr:from>
    <xdr:ext cx="1790700" cy="1581150"/>
    <xdr:sp macro="" textlink="">
      <xdr:nvSpPr>
        <xdr:cNvPr id="9" name="Shape 9"/>
        <xdr:cNvSpPr/>
      </xdr:nvSpPr>
      <xdr:spPr>
        <a:xfrm>
          <a:off x="4455413" y="2994188"/>
          <a:ext cx="1781175" cy="1571625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Paquetes individuales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Paquetes escolares Meriendas mixtas de 6 unidades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Meriendas mixtas de 18 unidades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Cajas de 50 unidades</a:t>
          </a:r>
          <a:endParaRPr sz="1100"/>
        </a:p>
      </xdr:txBody>
    </xdr:sp>
    <xdr:clientData fLocksWithSheet="0"/>
  </xdr:oneCellAnchor>
  <xdr:oneCellAnchor>
    <xdr:from>
      <xdr:col>3</xdr:col>
      <xdr:colOff>933450</xdr:colOff>
      <xdr:row>16</xdr:row>
      <xdr:rowOff>152400</xdr:rowOff>
    </xdr:from>
    <xdr:ext cx="1666875" cy="1066800"/>
    <xdr:sp macro="" textlink="">
      <xdr:nvSpPr>
        <xdr:cNvPr id="10" name="Shape 10"/>
        <xdr:cNvSpPr/>
      </xdr:nvSpPr>
      <xdr:spPr>
        <a:xfrm>
          <a:off x="4517325" y="3251363"/>
          <a:ext cx="1657350" cy="1057275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Paquetes individuales Paquetes escolares Meriendas mixtas de 6 unidades</a:t>
          </a:r>
          <a:endParaRPr sz="1100"/>
        </a:p>
      </xdr:txBody>
    </xdr:sp>
    <xdr:clientData fLocksWithSheet="0"/>
  </xdr:oneCellAnchor>
  <xdr:oneCellAnchor>
    <xdr:from>
      <xdr:col>6</xdr:col>
      <xdr:colOff>342900</xdr:colOff>
      <xdr:row>16</xdr:row>
      <xdr:rowOff>95250</xdr:rowOff>
    </xdr:from>
    <xdr:ext cx="1676400" cy="1162050"/>
    <xdr:sp macro="" textlink="">
      <xdr:nvSpPr>
        <xdr:cNvPr id="11" name="Shape 11"/>
        <xdr:cNvSpPr/>
      </xdr:nvSpPr>
      <xdr:spPr>
        <a:xfrm>
          <a:off x="4512563" y="3203738"/>
          <a:ext cx="1666875" cy="1152525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Paquetes escolares Meriendas mixtas de 6 unidadesMeriendas mixtas de 18 unidades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as</a:t>
          </a:r>
          <a:endParaRPr sz="1400"/>
        </a:p>
      </xdr:txBody>
    </xdr:sp>
    <xdr:clientData fLocksWithSheet="0"/>
  </xdr:oneCellAnchor>
  <xdr:oneCellAnchor>
    <xdr:from>
      <xdr:col>8</xdr:col>
      <xdr:colOff>914400</xdr:colOff>
      <xdr:row>16</xdr:row>
      <xdr:rowOff>114300</xdr:rowOff>
    </xdr:from>
    <xdr:ext cx="1485900" cy="809625"/>
    <xdr:sp macro="" textlink="">
      <xdr:nvSpPr>
        <xdr:cNvPr id="12" name="Shape 12"/>
        <xdr:cNvSpPr/>
      </xdr:nvSpPr>
      <xdr:spPr>
        <a:xfrm>
          <a:off x="4607813" y="3379950"/>
          <a:ext cx="1476375" cy="80010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Cajas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Paquetes individuales </a:t>
          </a:r>
          <a:endParaRPr sz="1100"/>
        </a:p>
      </xdr:txBody>
    </xdr:sp>
    <xdr:clientData fLocksWithSheet="0"/>
  </xdr:oneCellAnchor>
  <xdr:oneCellAnchor>
    <xdr:from>
      <xdr:col>5</xdr:col>
      <xdr:colOff>133350</xdr:colOff>
      <xdr:row>26</xdr:row>
      <xdr:rowOff>123825</xdr:rowOff>
    </xdr:from>
    <xdr:ext cx="2095500" cy="723900"/>
    <xdr:sp macro="" textlink="">
      <xdr:nvSpPr>
        <xdr:cNvPr id="13" name="Shape 13"/>
        <xdr:cNvSpPr/>
      </xdr:nvSpPr>
      <xdr:spPr>
        <a:xfrm>
          <a:off x="4303013" y="3422813"/>
          <a:ext cx="2085975" cy="71437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Realizar encuesta para conocer demanda global</a:t>
          </a:r>
          <a:endParaRPr sz="1100"/>
        </a:p>
      </xdr:txBody>
    </xdr:sp>
    <xdr:clientData fLocksWithSheet="0"/>
  </xdr:oneCellAnchor>
  <xdr:oneCellAnchor>
    <xdr:from>
      <xdr:col>7</xdr:col>
      <xdr:colOff>771525</xdr:colOff>
      <xdr:row>27</xdr:row>
      <xdr:rowOff>57150</xdr:rowOff>
    </xdr:from>
    <xdr:ext cx="1000125" cy="457200"/>
    <xdr:sp macro="" textlink="">
      <xdr:nvSpPr>
        <xdr:cNvPr id="14" name="Shape 14"/>
        <xdr:cNvSpPr/>
      </xdr:nvSpPr>
      <xdr:spPr>
        <a:xfrm>
          <a:off x="4850700" y="3556163"/>
          <a:ext cx="990600" cy="447675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Objetivo </a:t>
          </a:r>
          <a:endParaRPr sz="1100"/>
        </a:p>
      </xdr:txBody>
    </xdr:sp>
    <xdr:clientData fLocksWithSheet="0"/>
  </xdr:oneCellAnchor>
  <xdr:oneCellAnchor>
    <xdr:from>
      <xdr:col>9</xdr:col>
      <xdr:colOff>400050</xdr:colOff>
      <xdr:row>27</xdr:row>
      <xdr:rowOff>0</xdr:rowOff>
    </xdr:from>
    <xdr:ext cx="1943100" cy="571500"/>
    <xdr:sp macro="" textlink="">
      <xdr:nvSpPr>
        <xdr:cNvPr id="15" name="Shape 15"/>
        <xdr:cNvSpPr/>
      </xdr:nvSpPr>
      <xdr:spPr>
        <a:xfrm>
          <a:off x="4379213" y="3499013"/>
          <a:ext cx="1933575" cy="56197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Representar un 15% de la demanda</a:t>
          </a:r>
          <a:endParaRPr sz="1400"/>
        </a:p>
      </xdr:txBody>
    </xdr:sp>
    <xdr:clientData fLocksWithSheet="0"/>
  </xdr:oneCellAnchor>
  <xdr:oneCellAnchor>
    <xdr:from>
      <xdr:col>2</xdr:col>
      <xdr:colOff>800100</xdr:colOff>
      <xdr:row>32</xdr:row>
      <xdr:rowOff>85725</xdr:rowOff>
    </xdr:from>
    <xdr:ext cx="2581275" cy="904875"/>
    <xdr:sp macro="" textlink="">
      <xdr:nvSpPr>
        <xdr:cNvPr id="16" name="Shape 16"/>
        <xdr:cNvSpPr/>
      </xdr:nvSpPr>
      <xdr:spPr>
        <a:xfrm>
          <a:off x="4060125" y="3332325"/>
          <a:ext cx="2571750" cy="89535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Establecer porcentajes de crecimiento o decrecimiento mensual sugún diversas variables por mes</a:t>
          </a:r>
          <a:endParaRPr sz="1100"/>
        </a:p>
      </xdr:txBody>
    </xdr:sp>
    <xdr:clientData fLocksWithSheet="0"/>
  </xdr:oneCellAnchor>
  <xdr:oneCellAnchor>
    <xdr:from>
      <xdr:col>3</xdr:col>
      <xdr:colOff>514350</xdr:colOff>
      <xdr:row>40</xdr:row>
      <xdr:rowOff>114300</xdr:rowOff>
    </xdr:from>
    <xdr:ext cx="1143000" cy="438150"/>
    <xdr:sp macro="" textlink="">
      <xdr:nvSpPr>
        <xdr:cNvPr id="17" name="Shape 17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Agosto</a:t>
          </a:r>
          <a:endParaRPr sz="1400"/>
        </a:p>
      </xdr:txBody>
    </xdr:sp>
    <xdr:clientData fLocksWithSheet="0"/>
  </xdr:oneCellAnchor>
  <xdr:oneCellAnchor>
    <xdr:from>
      <xdr:col>3</xdr:col>
      <xdr:colOff>504825</xdr:colOff>
      <xdr:row>44</xdr:row>
      <xdr:rowOff>0</xdr:rowOff>
    </xdr:from>
    <xdr:ext cx="1143000" cy="438150"/>
    <xdr:sp macro="" textlink="">
      <xdr:nvSpPr>
        <xdr:cNvPr id="18" name="Shape 18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Setiembre</a:t>
          </a:r>
          <a:endParaRPr sz="1400"/>
        </a:p>
      </xdr:txBody>
    </xdr:sp>
    <xdr:clientData fLocksWithSheet="0"/>
  </xdr:oneCellAnchor>
  <xdr:oneCellAnchor>
    <xdr:from>
      <xdr:col>3</xdr:col>
      <xdr:colOff>514350</xdr:colOff>
      <xdr:row>47</xdr:row>
      <xdr:rowOff>66675</xdr:rowOff>
    </xdr:from>
    <xdr:ext cx="1143000" cy="438150"/>
    <xdr:sp macro="" textlink="">
      <xdr:nvSpPr>
        <xdr:cNvPr id="19" name="Shape 19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Octubre</a:t>
          </a:r>
          <a:endParaRPr sz="1400"/>
        </a:p>
      </xdr:txBody>
    </xdr:sp>
    <xdr:clientData fLocksWithSheet="0"/>
  </xdr:oneCellAnchor>
  <xdr:oneCellAnchor>
    <xdr:from>
      <xdr:col>3</xdr:col>
      <xdr:colOff>485775</xdr:colOff>
      <xdr:row>74</xdr:row>
      <xdr:rowOff>47625</xdr:rowOff>
    </xdr:from>
    <xdr:ext cx="1143000" cy="438150"/>
    <xdr:sp macro="" textlink="">
      <xdr:nvSpPr>
        <xdr:cNvPr id="20" name="Shape 20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Junio</a:t>
          </a:r>
          <a:endParaRPr sz="1400"/>
        </a:p>
      </xdr:txBody>
    </xdr:sp>
    <xdr:clientData fLocksWithSheet="0"/>
  </xdr:oneCellAnchor>
  <xdr:oneCellAnchor>
    <xdr:from>
      <xdr:col>3</xdr:col>
      <xdr:colOff>495300</xdr:colOff>
      <xdr:row>61</xdr:row>
      <xdr:rowOff>0</xdr:rowOff>
    </xdr:from>
    <xdr:ext cx="1143000" cy="438150"/>
    <xdr:sp macro="" textlink="">
      <xdr:nvSpPr>
        <xdr:cNvPr id="21" name="Shape 21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Febrero</a:t>
          </a:r>
          <a:endParaRPr sz="1400"/>
        </a:p>
      </xdr:txBody>
    </xdr:sp>
    <xdr:clientData fLocksWithSheet="0"/>
  </xdr:oneCellAnchor>
  <xdr:oneCellAnchor>
    <xdr:from>
      <xdr:col>3</xdr:col>
      <xdr:colOff>495300</xdr:colOff>
      <xdr:row>54</xdr:row>
      <xdr:rowOff>0</xdr:rowOff>
    </xdr:from>
    <xdr:ext cx="1143000" cy="438150"/>
    <xdr:sp macro="" textlink="">
      <xdr:nvSpPr>
        <xdr:cNvPr id="22" name="Shape 22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Diciembre</a:t>
          </a:r>
          <a:endParaRPr sz="1400"/>
        </a:p>
      </xdr:txBody>
    </xdr:sp>
    <xdr:clientData fLocksWithSheet="0"/>
  </xdr:oneCellAnchor>
  <xdr:oneCellAnchor>
    <xdr:from>
      <xdr:col>3</xdr:col>
      <xdr:colOff>457200</xdr:colOff>
      <xdr:row>71</xdr:row>
      <xdr:rowOff>28575</xdr:rowOff>
    </xdr:from>
    <xdr:ext cx="1143000" cy="438150"/>
    <xdr:sp macro="" textlink="">
      <xdr:nvSpPr>
        <xdr:cNvPr id="23" name="Shape 23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Mayo</a:t>
          </a:r>
          <a:endParaRPr sz="1400"/>
        </a:p>
      </xdr:txBody>
    </xdr:sp>
    <xdr:clientData fLocksWithSheet="0"/>
  </xdr:oneCellAnchor>
  <xdr:oneCellAnchor>
    <xdr:from>
      <xdr:col>3</xdr:col>
      <xdr:colOff>504825</xdr:colOff>
      <xdr:row>50</xdr:row>
      <xdr:rowOff>133350</xdr:rowOff>
    </xdr:from>
    <xdr:ext cx="1143000" cy="438150"/>
    <xdr:sp macro="" textlink="">
      <xdr:nvSpPr>
        <xdr:cNvPr id="24" name="Shape 24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Noviembre</a:t>
          </a:r>
          <a:endParaRPr sz="1400"/>
        </a:p>
      </xdr:txBody>
    </xdr:sp>
    <xdr:clientData fLocksWithSheet="0"/>
  </xdr:oneCellAnchor>
  <xdr:oneCellAnchor>
    <xdr:from>
      <xdr:col>3</xdr:col>
      <xdr:colOff>495300</xdr:colOff>
      <xdr:row>57</xdr:row>
      <xdr:rowOff>114300</xdr:rowOff>
    </xdr:from>
    <xdr:ext cx="1143000" cy="438150"/>
    <xdr:sp macro="" textlink="">
      <xdr:nvSpPr>
        <xdr:cNvPr id="25" name="Shape 25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Enero</a:t>
          </a:r>
          <a:endParaRPr sz="1400"/>
        </a:p>
      </xdr:txBody>
    </xdr:sp>
    <xdr:clientData fLocksWithSheet="0"/>
  </xdr:oneCellAnchor>
  <xdr:oneCellAnchor>
    <xdr:from>
      <xdr:col>3</xdr:col>
      <xdr:colOff>476250</xdr:colOff>
      <xdr:row>67</xdr:row>
      <xdr:rowOff>142875</xdr:rowOff>
    </xdr:from>
    <xdr:ext cx="1143000" cy="438150"/>
    <xdr:sp macro="" textlink="">
      <xdr:nvSpPr>
        <xdr:cNvPr id="26" name="Shape 26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Abril</a:t>
          </a:r>
          <a:endParaRPr sz="1400"/>
        </a:p>
      </xdr:txBody>
    </xdr:sp>
    <xdr:clientData fLocksWithSheet="0"/>
  </xdr:oneCellAnchor>
  <xdr:oneCellAnchor>
    <xdr:from>
      <xdr:col>3</xdr:col>
      <xdr:colOff>504825</xdr:colOff>
      <xdr:row>64</xdr:row>
      <xdr:rowOff>47625</xdr:rowOff>
    </xdr:from>
    <xdr:ext cx="1143000" cy="438150"/>
    <xdr:sp macro="" textlink="">
      <xdr:nvSpPr>
        <xdr:cNvPr id="27" name="Shape 27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Marzo</a:t>
          </a:r>
          <a:endParaRPr sz="1400"/>
        </a:p>
      </xdr:txBody>
    </xdr:sp>
    <xdr:clientData fLocksWithSheet="0"/>
  </xdr:oneCellAnchor>
  <xdr:oneCellAnchor>
    <xdr:from>
      <xdr:col>3</xdr:col>
      <xdr:colOff>485775</xdr:colOff>
      <xdr:row>77</xdr:row>
      <xdr:rowOff>104775</xdr:rowOff>
    </xdr:from>
    <xdr:ext cx="1143000" cy="438150"/>
    <xdr:sp macro="" textlink="">
      <xdr:nvSpPr>
        <xdr:cNvPr id="28" name="Shape 28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Julio</a:t>
          </a:r>
          <a:endParaRPr sz="1400"/>
        </a:p>
      </xdr:txBody>
    </xdr:sp>
    <xdr:clientData fLocksWithSheet="0"/>
  </xdr:oneCellAnchor>
  <xdr:oneCellAnchor>
    <xdr:from>
      <xdr:col>5</xdr:col>
      <xdr:colOff>542925</xdr:colOff>
      <xdr:row>40</xdr:row>
      <xdr:rowOff>85725</xdr:rowOff>
    </xdr:from>
    <xdr:ext cx="2552700" cy="447675"/>
    <xdr:sp macro="" textlink="">
      <xdr:nvSpPr>
        <xdr:cNvPr id="29" name="Shape 29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Posible regreso a clases </a:t>
          </a:r>
          <a:endParaRPr sz="1100"/>
        </a:p>
      </xdr:txBody>
    </xdr:sp>
    <xdr:clientData fLocksWithSheet="0"/>
  </xdr:oneCellAnchor>
  <xdr:oneCellAnchor>
    <xdr:from>
      <xdr:col>5</xdr:col>
      <xdr:colOff>542925</xdr:colOff>
      <xdr:row>43</xdr:row>
      <xdr:rowOff>152400</xdr:rowOff>
    </xdr:from>
    <xdr:ext cx="2552700" cy="466725"/>
    <xdr:sp macro="" textlink="">
      <xdr:nvSpPr>
        <xdr:cNvPr id="30" name="Shape 30"/>
        <xdr:cNvSpPr/>
      </xdr:nvSpPr>
      <xdr:spPr>
        <a:xfrm>
          <a:off x="4074413" y="3551400"/>
          <a:ext cx="2543175" cy="45720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Mes del niño</a:t>
          </a:r>
          <a:endParaRPr sz="1100"/>
        </a:p>
      </xdr:txBody>
    </xdr:sp>
    <xdr:clientData fLocksWithSheet="0"/>
  </xdr:oneCellAnchor>
  <xdr:oneCellAnchor>
    <xdr:from>
      <xdr:col>5</xdr:col>
      <xdr:colOff>571500</xdr:colOff>
      <xdr:row>47</xdr:row>
      <xdr:rowOff>28575</xdr:rowOff>
    </xdr:from>
    <xdr:ext cx="2552700" cy="447675"/>
    <xdr:sp macro="" textlink="">
      <xdr:nvSpPr>
        <xdr:cNvPr id="31" name="Shape 31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Sin Variable</a:t>
          </a:r>
          <a:endParaRPr sz="1100"/>
        </a:p>
      </xdr:txBody>
    </xdr:sp>
    <xdr:clientData fLocksWithSheet="0"/>
  </xdr:oneCellAnchor>
  <xdr:oneCellAnchor>
    <xdr:from>
      <xdr:col>5</xdr:col>
      <xdr:colOff>571500</xdr:colOff>
      <xdr:row>50</xdr:row>
      <xdr:rowOff>66675</xdr:rowOff>
    </xdr:from>
    <xdr:ext cx="2552700" cy="447675"/>
    <xdr:sp macro="" textlink="">
      <xdr:nvSpPr>
        <xdr:cNvPr id="32" name="Shape 32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Disminución de las lecciones </a:t>
          </a:r>
          <a:endParaRPr sz="1100"/>
        </a:p>
      </xdr:txBody>
    </xdr:sp>
    <xdr:clientData fLocksWithSheet="0"/>
  </xdr:oneCellAnchor>
  <xdr:oneCellAnchor>
    <xdr:from>
      <xdr:col>5</xdr:col>
      <xdr:colOff>581025</xdr:colOff>
      <xdr:row>53</xdr:row>
      <xdr:rowOff>95250</xdr:rowOff>
    </xdr:from>
    <xdr:ext cx="2552700" cy="447675"/>
    <xdr:sp macro="" textlink="">
      <xdr:nvSpPr>
        <xdr:cNvPr id="33" name="Shape 33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Fiestas de final lectivo y de fin de año </a:t>
          </a:r>
          <a:endParaRPr sz="1100"/>
        </a:p>
      </xdr:txBody>
    </xdr:sp>
    <xdr:clientData fLocksWithSheet="0"/>
  </xdr:oneCellAnchor>
  <xdr:oneCellAnchor>
    <xdr:from>
      <xdr:col>5</xdr:col>
      <xdr:colOff>581025</xdr:colOff>
      <xdr:row>57</xdr:row>
      <xdr:rowOff>66675</xdr:rowOff>
    </xdr:from>
    <xdr:ext cx="2552700" cy="447675"/>
    <xdr:sp macro="" textlink="">
      <xdr:nvSpPr>
        <xdr:cNvPr id="34" name="Shape 34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Vacaciones</a:t>
          </a:r>
          <a:endParaRPr sz="1100"/>
        </a:p>
      </xdr:txBody>
    </xdr:sp>
    <xdr:clientData fLocksWithSheet="0"/>
  </xdr:oneCellAnchor>
  <xdr:oneCellAnchor>
    <xdr:from>
      <xdr:col>5</xdr:col>
      <xdr:colOff>533400</xdr:colOff>
      <xdr:row>61</xdr:row>
      <xdr:rowOff>0</xdr:rowOff>
    </xdr:from>
    <xdr:ext cx="2552700" cy="447675"/>
    <xdr:sp macro="" textlink="">
      <xdr:nvSpPr>
        <xdr:cNvPr id="35" name="Shape 35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Entrada a clases </a:t>
          </a:r>
          <a:endParaRPr sz="1100"/>
        </a:p>
      </xdr:txBody>
    </xdr:sp>
    <xdr:clientData fLocksWithSheet="0"/>
  </xdr:oneCellAnchor>
  <xdr:oneCellAnchor>
    <xdr:from>
      <xdr:col>5</xdr:col>
      <xdr:colOff>552450</xdr:colOff>
      <xdr:row>64</xdr:row>
      <xdr:rowOff>66675</xdr:rowOff>
    </xdr:from>
    <xdr:ext cx="2552700" cy="447675"/>
    <xdr:sp macro="" textlink="">
      <xdr:nvSpPr>
        <xdr:cNvPr id="36" name="Shape 36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Sin Variable</a:t>
          </a:r>
          <a:endParaRPr sz="1100"/>
        </a:p>
      </xdr:txBody>
    </xdr:sp>
    <xdr:clientData fLocksWithSheet="0"/>
  </xdr:oneCellAnchor>
  <xdr:oneCellAnchor>
    <xdr:from>
      <xdr:col>5</xdr:col>
      <xdr:colOff>561975</xdr:colOff>
      <xdr:row>67</xdr:row>
      <xdr:rowOff>114300</xdr:rowOff>
    </xdr:from>
    <xdr:ext cx="2552700" cy="447675"/>
    <xdr:sp macro="" textlink="">
      <xdr:nvSpPr>
        <xdr:cNvPr id="37" name="Shape 37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Sin Variable</a:t>
          </a:r>
          <a:endParaRPr sz="1100"/>
        </a:p>
      </xdr:txBody>
    </xdr:sp>
    <xdr:clientData fLocksWithSheet="0"/>
  </xdr:oneCellAnchor>
  <xdr:oneCellAnchor>
    <xdr:from>
      <xdr:col>5</xdr:col>
      <xdr:colOff>590550</xdr:colOff>
      <xdr:row>71</xdr:row>
      <xdr:rowOff>19050</xdr:rowOff>
    </xdr:from>
    <xdr:ext cx="2552700" cy="447675"/>
    <xdr:sp macro="" textlink="">
      <xdr:nvSpPr>
        <xdr:cNvPr id="38" name="Shape 38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Sin Variable</a:t>
          </a:r>
          <a:endParaRPr sz="1100"/>
        </a:p>
      </xdr:txBody>
    </xdr:sp>
    <xdr:clientData fLocksWithSheet="0"/>
  </xdr:oneCellAnchor>
  <xdr:oneCellAnchor>
    <xdr:from>
      <xdr:col>5</xdr:col>
      <xdr:colOff>590550</xdr:colOff>
      <xdr:row>74</xdr:row>
      <xdr:rowOff>85725</xdr:rowOff>
    </xdr:from>
    <xdr:ext cx="2552700" cy="447675"/>
    <xdr:sp macro="" textlink="">
      <xdr:nvSpPr>
        <xdr:cNvPr id="39" name="Shape 39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Sin Variable</a:t>
          </a:r>
          <a:endParaRPr sz="1100"/>
        </a:p>
      </xdr:txBody>
    </xdr:sp>
    <xdr:clientData fLocksWithSheet="0"/>
  </xdr:oneCellAnchor>
  <xdr:oneCellAnchor>
    <xdr:from>
      <xdr:col>5</xdr:col>
      <xdr:colOff>590550</xdr:colOff>
      <xdr:row>78</xdr:row>
      <xdr:rowOff>9525</xdr:rowOff>
    </xdr:from>
    <xdr:ext cx="2552700" cy="447675"/>
    <xdr:sp macro="" textlink="">
      <xdr:nvSpPr>
        <xdr:cNvPr id="40" name="Shape 40"/>
        <xdr:cNvSpPr/>
      </xdr:nvSpPr>
      <xdr:spPr>
        <a:xfrm>
          <a:off x="4074413" y="3560925"/>
          <a:ext cx="2543175" cy="438150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Vacaciones de medio año</a:t>
          </a:r>
          <a:endParaRPr sz="1100"/>
        </a:p>
      </xdr:txBody>
    </xdr:sp>
    <xdr:clientData fLocksWithSheet="0"/>
  </xdr:oneCellAnchor>
  <xdr:oneCellAnchor>
    <xdr:from>
      <xdr:col>9</xdr:col>
      <xdr:colOff>809625</xdr:colOff>
      <xdr:row>40</xdr:row>
      <xdr:rowOff>47625</xdr:rowOff>
    </xdr:from>
    <xdr:ext cx="1143000" cy="438150"/>
    <xdr:sp macro="" textlink="">
      <xdr:nvSpPr>
        <xdr:cNvPr id="41" name="Shape 41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20%</a:t>
          </a:r>
          <a:endParaRPr sz="1400"/>
        </a:p>
      </xdr:txBody>
    </xdr:sp>
    <xdr:clientData fLocksWithSheet="0"/>
  </xdr:oneCellAnchor>
  <xdr:oneCellAnchor>
    <xdr:from>
      <xdr:col>9</xdr:col>
      <xdr:colOff>819150</xdr:colOff>
      <xdr:row>43</xdr:row>
      <xdr:rowOff>142875</xdr:rowOff>
    </xdr:from>
    <xdr:ext cx="1143000" cy="438150"/>
    <xdr:sp macro="" textlink="">
      <xdr:nvSpPr>
        <xdr:cNvPr id="42" name="Shape 42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5%</a:t>
          </a:r>
          <a:endParaRPr sz="1400"/>
        </a:p>
      </xdr:txBody>
    </xdr:sp>
    <xdr:clientData fLocksWithSheet="0"/>
  </xdr:oneCellAnchor>
  <xdr:oneCellAnchor>
    <xdr:from>
      <xdr:col>9</xdr:col>
      <xdr:colOff>800100</xdr:colOff>
      <xdr:row>47</xdr:row>
      <xdr:rowOff>47625</xdr:rowOff>
    </xdr:from>
    <xdr:ext cx="1143000" cy="438150"/>
    <xdr:sp macro="" textlink="">
      <xdr:nvSpPr>
        <xdr:cNvPr id="43" name="Shape 43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- 5%</a:t>
          </a:r>
          <a:endParaRPr sz="1400"/>
        </a:p>
      </xdr:txBody>
    </xdr:sp>
    <xdr:clientData fLocksWithSheet="0"/>
  </xdr:oneCellAnchor>
  <xdr:oneCellAnchor>
    <xdr:from>
      <xdr:col>9</xdr:col>
      <xdr:colOff>800100</xdr:colOff>
      <xdr:row>50</xdr:row>
      <xdr:rowOff>76200</xdr:rowOff>
    </xdr:from>
    <xdr:ext cx="1143000" cy="438150"/>
    <xdr:sp macro="" textlink="">
      <xdr:nvSpPr>
        <xdr:cNvPr id="44" name="Shape 44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-10 %</a:t>
          </a:r>
          <a:endParaRPr sz="1400"/>
        </a:p>
      </xdr:txBody>
    </xdr:sp>
    <xdr:clientData fLocksWithSheet="0"/>
  </xdr:oneCellAnchor>
  <xdr:oneCellAnchor>
    <xdr:from>
      <xdr:col>9</xdr:col>
      <xdr:colOff>790575</xdr:colOff>
      <xdr:row>53</xdr:row>
      <xdr:rowOff>152400</xdr:rowOff>
    </xdr:from>
    <xdr:ext cx="1143000" cy="457200"/>
    <xdr:sp macro="" textlink="">
      <xdr:nvSpPr>
        <xdr:cNvPr id="45" name="Shape 45"/>
        <xdr:cNvSpPr/>
      </xdr:nvSpPr>
      <xdr:spPr>
        <a:xfrm>
          <a:off x="4779263" y="3556163"/>
          <a:ext cx="1133475" cy="44767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15%</a:t>
          </a:r>
          <a:endParaRPr sz="1400"/>
        </a:p>
      </xdr:txBody>
    </xdr:sp>
    <xdr:clientData fLocksWithSheet="0"/>
  </xdr:oneCellAnchor>
  <xdr:oneCellAnchor>
    <xdr:from>
      <xdr:col>9</xdr:col>
      <xdr:colOff>819150</xdr:colOff>
      <xdr:row>57</xdr:row>
      <xdr:rowOff>95250</xdr:rowOff>
    </xdr:from>
    <xdr:ext cx="1143000" cy="438150"/>
    <xdr:sp macro="" textlink="">
      <xdr:nvSpPr>
        <xdr:cNvPr id="46" name="Shape 46"/>
        <xdr:cNvSpPr/>
      </xdr:nvSpPr>
      <xdr:spPr>
        <a:xfrm>
          <a:off x="4779263" y="3565688"/>
          <a:ext cx="11334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-20%</a:t>
          </a:r>
          <a:endParaRPr sz="1400"/>
        </a:p>
      </xdr:txBody>
    </xdr:sp>
    <xdr:clientData fLocksWithSheet="0"/>
  </xdr:oneCellAnchor>
  <xdr:oneCellAnchor>
    <xdr:from>
      <xdr:col>9</xdr:col>
      <xdr:colOff>866775</xdr:colOff>
      <xdr:row>61</xdr:row>
      <xdr:rowOff>9525</xdr:rowOff>
    </xdr:from>
    <xdr:ext cx="1066800" cy="438150"/>
    <xdr:sp macro="" textlink="">
      <xdr:nvSpPr>
        <xdr:cNvPr id="47" name="Shape 47"/>
        <xdr:cNvSpPr/>
      </xdr:nvSpPr>
      <xdr:spPr>
        <a:xfrm>
          <a:off x="4817363" y="3565688"/>
          <a:ext cx="10572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25%</a:t>
          </a:r>
          <a:endParaRPr sz="1400"/>
        </a:p>
      </xdr:txBody>
    </xdr:sp>
    <xdr:clientData fLocksWithSheet="0"/>
  </xdr:oneCellAnchor>
  <xdr:oneCellAnchor>
    <xdr:from>
      <xdr:col>9</xdr:col>
      <xdr:colOff>847725</xdr:colOff>
      <xdr:row>64</xdr:row>
      <xdr:rowOff>38100</xdr:rowOff>
    </xdr:from>
    <xdr:ext cx="1066800" cy="438150"/>
    <xdr:sp macro="" textlink="">
      <xdr:nvSpPr>
        <xdr:cNvPr id="48" name="Shape 48"/>
        <xdr:cNvSpPr/>
      </xdr:nvSpPr>
      <xdr:spPr>
        <a:xfrm>
          <a:off x="4817363" y="3565688"/>
          <a:ext cx="10572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0%</a:t>
          </a:r>
          <a:endParaRPr sz="1400"/>
        </a:p>
      </xdr:txBody>
    </xdr:sp>
    <xdr:clientData fLocksWithSheet="0"/>
  </xdr:oneCellAnchor>
  <xdr:oneCellAnchor>
    <xdr:from>
      <xdr:col>9</xdr:col>
      <xdr:colOff>847725</xdr:colOff>
      <xdr:row>67</xdr:row>
      <xdr:rowOff>85725</xdr:rowOff>
    </xdr:from>
    <xdr:ext cx="1066800" cy="438150"/>
    <xdr:sp macro="" textlink="">
      <xdr:nvSpPr>
        <xdr:cNvPr id="49" name="Shape 49"/>
        <xdr:cNvSpPr/>
      </xdr:nvSpPr>
      <xdr:spPr>
        <a:xfrm>
          <a:off x="4817363" y="3565688"/>
          <a:ext cx="10572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0%</a:t>
          </a:r>
          <a:endParaRPr sz="1400"/>
        </a:p>
      </xdr:txBody>
    </xdr:sp>
    <xdr:clientData fLocksWithSheet="0"/>
  </xdr:oneCellAnchor>
  <xdr:oneCellAnchor>
    <xdr:from>
      <xdr:col>9</xdr:col>
      <xdr:colOff>857250</xdr:colOff>
      <xdr:row>70</xdr:row>
      <xdr:rowOff>133350</xdr:rowOff>
    </xdr:from>
    <xdr:ext cx="1066800" cy="438150"/>
    <xdr:sp macro="" textlink="">
      <xdr:nvSpPr>
        <xdr:cNvPr id="50" name="Shape 50"/>
        <xdr:cNvSpPr/>
      </xdr:nvSpPr>
      <xdr:spPr>
        <a:xfrm>
          <a:off x="4817363" y="3565688"/>
          <a:ext cx="1057275" cy="42862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0%</a:t>
          </a:r>
          <a:endParaRPr sz="1400"/>
        </a:p>
      </xdr:txBody>
    </xdr:sp>
    <xdr:clientData fLocksWithSheet="0"/>
  </xdr:oneCellAnchor>
  <xdr:oneCellAnchor>
    <xdr:from>
      <xdr:col>9</xdr:col>
      <xdr:colOff>866775</xdr:colOff>
      <xdr:row>73</xdr:row>
      <xdr:rowOff>161925</xdr:rowOff>
    </xdr:from>
    <xdr:ext cx="1066800" cy="457200"/>
    <xdr:sp macro="" textlink="">
      <xdr:nvSpPr>
        <xdr:cNvPr id="51" name="Shape 51"/>
        <xdr:cNvSpPr/>
      </xdr:nvSpPr>
      <xdr:spPr>
        <a:xfrm>
          <a:off x="4817363" y="3556163"/>
          <a:ext cx="1057275" cy="44767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0%</a:t>
          </a:r>
          <a:endParaRPr sz="1400"/>
        </a:p>
      </xdr:txBody>
    </xdr:sp>
    <xdr:clientData fLocksWithSheet="0"/>
  </xdr:oneCellAnchor>
  <xdr:oneCellAnchor>
    <xdr:from>
      <xdr:col>9</xdr:col>
      <xdr:colOff>857250</xdr:colOff>
      <xdr:row>77</xdr:row>
      <xdr:rowOff>152400</xdr:rowOff>
    </xdr:from>
    <xdr:ext cx="1143000" cy="457200"/>
    <xdr:sp macro="" textlink="">
      <xdr:nvSpPr>
        <xdr:cNvPr id="52" name="Shape 52"/>
        <xdr:cNvSpPr/>
      </xdr:nvSpPr>
      <xdr:spPr>
        <a:xfrm>
          <a:off x="4779263" y="3556163"/>
          <a:ext cx="1133475" cy="447675"/>
        </a:xfrm>
        <a:prstGeom prst="roundRect">
          <a:avLst>
            <a:gd name="adj" fmla="val 9524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-15%</a:t>
          </a:r>
          <a:endParaRPr sz="1400"/>
        </a:p>
      </xdr:txBody>
    </xdr:sp>
    <xdr:clientData fLocksWithSheet="0"/>
  </xdr:oneCellAnchor>
  <xdr:oneCellAnchor>
    <xdr:from>
      <xdr:col>4</xdr:col>
      <xdr:colOff>752475</xdr:colOff>
      <xdr:row>13</xdr:row>
      <xdr:rowOff>123825</xdr:rowOff>
    </xdr:from>
    <xdr:ext cx="28575" cy="647700"/>
    <xdr:grpSp>
      <xdr:nvGrpSpPr>
        <xdr:cNvPr id="2" name="Shape 2"/>
        <xdr:cNvGrpSpPr/>
      </xdr:nvGrpSpPr>
      <xdr:grpSpPr>
        <a:xfrm>
          <a:off x="4714875" y="2600325"/>
          <a:ext cx="28575" cy="647700"/>
          <a:chOff x="5331713" y="3456150"/>
          <a:chExt cx="28575" cy="647700"/>
        </a:xfrm>
      </xdr:grpSpPr>
      <xdr:grpSp>
        <xdr:nvGrpSpPr>
          <xdr:cNvPr id="53" name="Shape 53"/>
          <xdr:cNvGrpSpPr/>
        </xdr:nvGrpSpPr>
        <xdr:grpSpPr>
          <a:xfrm>
            <a:off x="5331713" y="3456150"/>
            <a:ext cx="28575" cy="647700"/>
            <a:chOff x="5341238" y="3456150"/>
            <a:chExt cx="9600" cy="647700"/>
          </a:xfrm>
        </xdr:grpSpPr>
        <xdr:sp macro="" textlink="">
          <xdr:nvSpPr>
            <xdr:cNvPr id="54" name="Shape 54"/>
            <xdr:cNvSpPr/>
          </xdr:nvSpPr>
          <xdr:spPr>
            <a:xfrm>
              <a:off x="5341238" y="3456150"/>
              <a:ext cx="9600" cy="6477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5" name="Shape 55"/>
            <xdr:cNvCxnSpPr>
              <a:stCxn id="6" idx="2"/>
              <a:endCxn id="10" idx="0"/>
            </xdr:cNvCxnSpPr>
          </xdr:nvCxnSpPr>
          <xdr:spPr>
            <a:xfrm>
              <a:off x="5341238" y="3456150"/>
              <a:ext cx="9600" cy="6477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7</xdr:col>
      <xdr:colOff>47625</xdr:colOff>
      <xdr:row>13</xdr:row>
      <xdr:rowOff>38100</xdr:rowOff>
    </xdr:from>
    <xdr:ext cx="38100" cy="685800"/>
    <xdr:grpSp>
      <xdr:nvGrpSpPr>
        <xdr:cNvPr id="56" name="Shape 2"/>
        <xdr:cNvGrpSpPr/>
      </xdr:nvGrpSpPr>
      <xdr:grpSpPr>
        <a:xfrm>
          <a:off x="6981825" y="2514600"/>
          <a:ext cx="38100" cy="685800"/>
          <a:chOff x="5326950" y="3437100"/>
          <a:chExt cx="38100" cy="685800"/>
        </a:xfrm>
      </xdr:grpSpPr>
      <xdr:grpSp>
        <xdr:nvGrpSpPr>
          <xdr:cNvPr id="57" name="Shape 56"/>
          <xdr:cNvGrpSpPr/>
        </xdr:nvGrpSpPr>
        <xdr:grpSpPr>
          <a:xfrm>
            <a:off x="5326950" y="3437100"/>
            <a:ext cx="38100" cy="685800"/>
            <a:chOff x="5336475" y="3437100"/>
            <a:chExt cx="18900" cy="685800"/>
          </a:xfrm>
        </xdr:grpSpPr>
        <xdr:sp macro="" textlink="">
          <xdr:nvSpPr>
            <xdr:cNvPr id="58" name="Shape 54"/>
            <xdr:cNvSpPr/>
          </xdr:nvSpPr>
          <xdr:spPr>
            <a:xfrm>
              <a:off x="5336475" y="3437100"/>
              <a:ext cx="18900" cy="6858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9" name="Shape 57"/>
            <xdr:cNvCxnSpPr>
              <a:stCxn id="7" idx="2"/>
            </xdr:cNvCxnSpPr>
          </xdr:nvCxnSpPr>
          <xdr:spPr>
            <a:xfrm>
              <a:off x="5336475" y="3437100"/>
              <a:ext cx="18900" cy="6858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104775</xdr:colOff>
      <xdr:row>41</xdr:row>
      <xdr:rowOff>66675</xdr:rowOff>
    </xdr:from>
    <xdr:ext cx="1714500" cy="47625"/>
    <xdr:grpSp>
      <xdr:nvGrpSpPr>
        <xdr:cNvPr id="60" name="Shape 2"/>
        <xdr:cNvGrpSpPr/>
      </xdr:nvGrpSpPr>
      <xdr:grpSpPr>
        <a:xfrm>
          <a:off x="8029575" y="8077200"/>
          <a:ext cx="1714500" cy="47625"/>
          <a:chOff x="4488750" y="3756188"/>
          <a:chExt cx="1714500" cy="47625"/>
        </a:xfrm>
      </xdr:grpSpPr>
      <xdr:grpSp>
        <xdr:nvGrpSpPr>
          <xdr:cNvPr id="61" name="Shape 58"/>
          <xdr:cNvGrpSpPr/>
        </xdr:nvGrpSpPr>
        <xdr:grpSpPr>
          <a:xfrm>
            <a:off x="4488750" y="3756188"/>
            <a:ext cx="1714500" cy="47625"/>
            <a:chOff x="4493513" y="3760950"/>
            <a:chExt cx="1704900" cy="38100"/>
          </a:xfrm>
        </xdr:grpSpPr>
        <xdr:sp macro="" textlink="">
          <xdr:nvSpPr>
            <xdr:cNvPr id="62" name="Shape 54"/>
            <xdr:cNvSpPr/>
          </xdr:nvSpPr>
          <xdr:spPr>
            <a:xfrm>
              <a:off x="4493513" y="3760950"/>
              <a:ext cx="1704900" cy="38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3" name="Shape 59"/>
            <xdr:cNvCxnSpPr>
              <a:stCxn id="29" idx="3"/>
              <a:endCxn id="41" idx="1"/>
            </xdr:cNvCxnSpPr>
          </xdr:nvCxnSpPr>
          <xdr:spPr>
            <a:xfrm rot="10800000" flipH="1">
              <a:off x="4493513" y="3760950"/>
              <a:ext cx="1704900" cy="381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114300</xdr:colOff>
      <xdr:row>44</xdr:row>
      <xdr:rowOff>152400</xdr:rowOff>
    </xdr:from>
    <xdr:ext cx="1714500" cy="38100"/>
    <xdr:grpSp>
      <xdr:nvGrpSpPr>
        <xdr:cNvPr id="64" name="Shape 2"/>
        <xdr:cNvGrpSpPr/>
      </xdr:nvGrpSpPr>
      <xdr:grpSpPr>
        <a:xfrm>
          <a:off x="8039100" y="8763000"/>
          <a:ext cx="1714500" cy="38100"/>
          <a:chOff x="4488750" y="3760950"/>
          <a:chExt cx="1714500" cy="38100"/>
        </a:xfrm>
      </xdr:grpSpPr>
      <xdr:grpSp>
        <xdr:nvGrpSpPr>
          <xdr:cNvPr id="65" name="Shape 60"/>
          <xdr:cNvGrpSpPr/>
        </xdr:nvGrpSpPr>
        <xdr:grpSpPr>
          <a:xfrm>
            <a:off x="4488750" y="3760950"/>
            <a:ext cx="1714500" cy="38100"/>
            <a:chOff x="4488750" y="3775163"/>
            <a:chExt cx="1714500" cy="9600"/>
          </a:xfrm>
        </xdr:grpSpPr>
        <xdr:sp macro="" textlink="">
          <xdr:nvSpPr>
            <xdr:cNvPr id="66" name="Shape 54"/>
            <xdr:cNvSpPr/>
          </xdr:nvSpPr>
          <xdr:spPr>
            <a:xfrm>
              <a:off x="4488750" y="3775163"/>
              <a:ext cx="1714500" cy="9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7" name="Shape 61"/>
            <xdr:cNvCxnSpPr>
              <a:stCxn id="30" idx="3"/>
              <a:endCxn id="42" idx="1"/>
            </xdr:cNvCxnSpPr>
          </xdr:nvCxnSpPr>
          <xdr:spPr>
            <a:xfrm rot="10800000" flipH="1">
              <a:off x="4488750" y="3775163"/>
              <a:ext cx="1714500" cy="96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142875</xdr:colOff>
      <xdr:row>48</xdr:row>
      <xdr:rowOff>47625</xdr:rowOff>
    </xdr:from>
    <xdr:ext cx="1666875" cy="38100"/>
    <xdr:grpSp>
      <xdr:nvGrpSpPr>
        <xdr:cNvPr id="68" name="Shape 2"/>
        <xdr:cNvGrpSpPr/>
      </xdr:nvGrpSpPr>
      <xdr:grpSpPr>
        <a:xfrm>
          <a:off x="8067675" y="9458325"/>
          <a:ext cx="1666875" cy="38100"/>
          <a:chOff x="4512563" y="3760950"/>
          <a:chExt cx="1666875" cy="38100"/>
        </a:xfrm>
      </xdr:grpSpPr>
      <xdr:grpSp>
        <xdr:nvGrpSpPr>
          <xdr:cNvPr id="69" name="Shape 62"/>
          <xdr:cNvGrpSpPr/>
        </xdr:nvGrpSpPr>
        <xdr:grpSpPr>
          <a:xfrm>
            <a:off x="4512563" y="3760950"/>
            <a:ext cx="1666875" cy="38100"/>
            <a:chOff x="4512563" y="3775238"/>
            <a:chExt cx="1666800" cy="9600"/>
          </a:xfrm>
        </xdr:grpSpPr>
        <xdr:sp macro="" textlink="">
          <xdr:nvSpPr>
            <xdr:cNvPr id="70" name="Shape 54"/>
            <xdr:cNvSpPr/>
          </xdr:nvSpPr>
          <xdr:spPr>
            <a:xfrm>
              <a:off x="4512563" y="3775238"/>
              <a:ext cx="1666800" cy="9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1" name="Shape 63"/>
            <xdr:cNvCxnSpPr>
              <a:stCxn id="31" idx="3"/>
              <a:endCxn id="43" idx="1"/>
            </xdr:cNvCxnSpPr>
          </xdr:nvCxnSpPr>
          <xdr:spPr>
            <a:xfrm>
              <a:off x="4512563" y="3775238"/>
              <a:ext cx="1666800" cy="96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142875</xdr:colOff>
      <xdr:row>54</xdr:row>
      <xdr:rowOff>123825</xdr:rowOff>
    </xdr:from>
    <xdr:ext cx="1647825" cy="57150"/>
    <xdr:grpSp>
      <xdr:nvGrpSpPr>
        <xdr:cNvPr id="72" name="Shape 2"/>
        <xdr:cNvGrpSpPr/>
      </xdr:nvGrpSpPr>
      <xdr:grpSpPr>
        <a:xfrm>
          <a:off x="8067675" y="10734675"/>
          <a:ext cx="1647825" cy="57150"/>
          <a:chOff x="4522088" y="3751425"/>
          <a:chExt cx="1647825" cy="57150"/>
        </a:xfrm>
      </xdr:grpSpPr>
      <xdr:grpSp>
        <xdr:nvGrpSpPr>
          <xdr:cNvPr id="73" name="Shape 64"/>
          <xdr:cNvGrpSpPr/>
        </xdr:nvGrpSpPr>
        <xdr:grpSpPr>
          <a:xfrm>
            <a:off x="4522088" y="3751425"/>
            <a:ext cx="1647825" cy="57150"/>
            <a:chOff x="4522088" y="3756188"/>
            <a:chExt cx="1647900" cy="47700"/>
          </a:xfrm>
        </xdr:grpSpPr>
        <xdr:sp macro="" textlink="">
          <xdr:nvSpPr>
            <xdr:cNvPr id="74" name="Shape 54"/>
            <xdr:cNvSpPr/>
          </xdr:nvSpPr>
          <xdr:spPr>
            <a:xfrm>
              <a:off x="4522088" y="3756188"/>
              <a:ext cx="1647900" cy="477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5" name="Shape 65"/>
            <xdr:cNvCxnSpPr>
              <a:stCxn id="33" idx="3"/>
              <a:endCxn id="45" idx="1"/>
            </xdr:cNvCxnSpPr>
          </xdr:nvCxnSpPr>
          <xdr:spPr>
            <a:xfrm>
              <a:off x="4522088" y="3756188"/>
              <a:ext cx="1647900" cy="477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152400</xdr:colOff>
      <xdr:row>58</xdr:row>
      <xdr:rowOff>85725</xdr:rowOff>
    </xdr:from>
    <xdr:ext cx="1676400" cy="38100"/>
    <xdr:grpSp>
      <xdr:nvGrpSpPr>
        <xdr:cNvPr id="76" name="Shape 2"/>
        <xdr:cNvGrpSpPr/>
      </xdr:nvGrpSpPr>
      <xdr:grpSpPr>
        <a:xfrm>
          <a:off x="8077200" y="11496675"/>
          <a:ext cx="1676400" cy="38100"/>
          <a:chOff x="4507800" y="3760950"/>
          <a:chExt cx="1676400" cy="38100"/>
        </a:xfrm>
      </xdr:grpSpPr>
      <xdr:grpSp>
        <xdr:nvGrpSpPr>
          <xdr:cNvPr id="77" name="Shape 66"/>
          <xdr:cNvGrpSpPr/>
        </xdr:nvGrpSpPr>
        <xdr:grpSpPr>
          <a:xfrm>
            <a:off x="4507800" y="3760950"/>
            <a:ext cx="1676400" cy="38100"/>
            <a:chOff x="4507800" y="3770475"/>
            <a:chExt cx="1676400" cy="18900"/>
          </a:xfrm>
        </xdr:grpSpPr>
        <xdr:sp macro="" textlink="">
          <xdr:nvSpPr>
            <xdr:cNvPr id="78" name="Shape 54"/>
            <xdr:cNvSpPr/>
          </xdr:nvSpPr>
          <xdr:spPr>
            <a:xfrm>
              <a:off x="4507800" y="3770475"/>
              <a:ext cx="1676400" cy="18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9" name="Shape 67"/>
            <xdr:cNvCxnSpPr>
              <a:stCxn id="34" idx="3"/>
              <a:endCxn id="46" idx="1"/>
            </xdr:cNvCxnSpPr>
          </xdr:nvCxnSpPr>
          <xdr:spPr>
            <a:xfrm>
              <a:off x="4507800" y="3770475"/>
              <a:ext cx="1676400" cy="189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104775</xdr:colOff>
      <xdr:row>62</xdr:row>
      <xdr:rowOff>0</xdr:rowOff>
    </xdr:from>
    <xdr:ext cx="1771650" cy="38100"/>
    <xdr:grpSp>
      <xdr:nvGrpSpPr>
        <xdr:cNvPr id="80" name="Shape 2"/>
        <xdr:cNvGrpSpPr/>
      </xdr:nvGrpSpPr>
      <xdr:grpSpPr>
        <a:xfrm>
          <a:off x="8029575" y="12211050"/>
          <a:ext cx="1771650" cy="38100"/>
          <a:chOff x="4460175" y="3760950"/>
          <a:chExt cx="1771650" cy="38100"/>
        </a:xfrm>
      </xdr:grpSpPr>
      <xdr:grpSp>
        <xdr:nvGrpSpPr>
          <xdr:cNvPr id="81" name="Shape 68"/>
          <xdr:cNvGrpSpPr/>
        </xdr:nvGrpSpPr>
        <xdr:grpSpPr>
          <a:xfrm>
            <a:off x="4460175" y="3760950"/>
            <a:ext cx="1771650" cy="38100"/>
            <a:chOff x="4460175" y="3770475"/>
            <a:chExt cx="1771800" cy="18900"/>
          </a:xfrm>
        </xdr:grpSpPr>
        <xdr:sp macro="" textlink="">
          <xdr:nvSpPr>
            <xdr:cNvPr id="82" name="Shape 54"/>
            <xdr:cNvSpPr/>
          </xdr:nvSpPr>
          <xdr:spPr>
            <a:xfrm>
              <a:off x="4460175" y="3770475"/>
              <a:ext cx="1771800" cy="18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3" name="Shape 69"/>
            <xdr:cNvCxnSpPr>
              <a:stCxn id="35" idx="3"/>
              <a:endCxn id="47" idx="1"/>
            </xdr:cNvCxnSpPr>
          </xdr:nvCxnSpPr>
          <xdr:spPr>
            <a:xfrm>
              <a:off x="4460175" y="3770475"/>
              <a:ext cx="1771800" cy="189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123825</xdr:colOff>
      <xdr:row>65</xdr:row>
      <xdr:rowOff>57150</xdr:rowOff>
    </xdr:from>
    <xdr:ext cx="1733550" cy="38100"/>
    <xdr:grpSp>
      <xdr:nvGrpSpPr>
        <xdr:cNvPr id="84" name="Shape 2"/>
        <xdr:cNvGrpSpPr/>
      </xdr:nvGrpSpPr>
      <xdr:grpSpPr>
        <a:xfrm>
          <a:off x="8048625" y="12868275"/>
          <a:ext cx="1733550" cy="38100"/>
          <a:chOff x="4479225" y="3760950"/>
          <a:chExt cx="1733550" cy="38100"/>
        </a:xfrm>
      </xdr:grpSpPr>
      <xdr:grpSp>
        <xdr:nvGrpSpPr>
          <xdr:cNvPr id="85" name="Shape 70"/>
          <xdr:cNvGrpSpPr/>
        </xdr:nvGrpSpPr>
        <xdr:grpSpPr>
          <a:xfrm>
            <a:off x="4479225" y="3760950"/>
            <a:ext cx="1733550" cy="38100"/>
            <a:chOff x="4479225" y="3765788"/>
            <a:chExt cx="1733400" cy="28500"/>
          </a:xfrm>
        </xdr:grpSpPr>
        <xdr:sp macro="" textlink="">
          <xdr:nvSpPr>
            <xdr:cNvPr id="86" name="Shape 54"/>
            <xdr:cNvSpPr/>
          </xdr:nvSpPr>
          <xdr:spPr>
            <a:xfrm>
              <a:off x="4479225" y="3765788"/>
              <a:ext cx="1733400" cy="285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7" name="Shape 71"/>
            <xdr:cNvCxnSpPr>
              <a:stCxn id="36" idx="3"/>
              <a:endCxn id="48" idx="1"/>
            </xdr:cNvCxnSpPr>
          </xdr:nvCxnSpPr>
          <xdr:spPr>
            <a:xfrm rot="10800000" flipH="1">
              <a:off x="4479225" y="3765788"/>
              <a:ext cx="1733400" cy="285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133350</xdr:colOff>
      <xdr:row>68</xdr:row>
      <xdr:rowOff>104775</xdr:rowOff>
    </xdr:from>
    <xdr:ext cx="1724025" cy="38100"/>
    <xdr:grpSp>
      <xdr:nvGrpSpPr>
        <xdr:cNvPr id="88" name="Shape 2"/>
        <xdr:cNvGrpSpPr/>
      </xdr:nvGrpSpPr>
      <xdr:grpSpPr>
        <a:xfrm>
          <a:off x="8058150" y="13515975"/>
          <a:ext cx="1724025" cy="38100"/>
          <a:chOff x="4483988" y="3760950"/>
          <a:chExt cx="1724025" cy="38100"/>
        </a:xfrm>
      </xdr:grpSpPr>
      <xdr:grpSp>
        <xdr:nvGrpSpPr>
          <xdr:cNvPr id="89" name="Shape 72"/>
          <xdr:cNvGrpSpPr/>
        </xdr:nvGrpSpPr>
        <xdr:grpSpPr>
          <a:xfrm>
            <a:off x="4483988" y="3760950"/>
            <a:ext cx="1724025" cy="38100"/>
            <a:chOff x="4483988" y="3765788"/>
            <a:chExt cx="1724100" cy="28500"/>
          </a:xfrm>
        </xdr:grpSpPr>
        <xdr:sp macro="" textlink="">
          <xdr:nvSpPr>
            <xdr:cNvPr id="90" name="Shape 54"/>
            <xdr:cNvSpPr/>
          </xdr:nvSpPr>
          <xdr:spPr>
            <a:xfrm>
              <a:off x="4483988" y="3765788"/>
              <a:ext cx="1724100" cy="285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1" name="Shape 73"/>
            <xdr:cNvCxnSpPr>
              <a:stCxn id="37" idx="3"/>
              <a:endCxn id="49" idx="1"/>
            </xdr:cNvCxnSpPr>
          </xdr:nvCxnSpPr>
          <xdr:spPr>
            <a:xfrm rot="10800000" flipH="1">
              <a:off x="4483988" y="3765788"/>
              <a:ext cx="1724100" cy="285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152400</xdr:colOff>
      <xdr:row>71</xdr:row>
      <xdr:rowOff>152400</xdr:rowOff>
    </xdr:from>
    <xdr:ext cx="1704975" cy="104775"/>
    <xdr:grpSp>
      <xdr:nvGrpSpPr>
        <xdr:cNvPr id="92" name="Shape 2"/>
        <xdr:cNvGrpSpPr/>
      </xdr:nvGrpSpPr>
      <xdr:grpSpPr>
        <a:xfrm>
          <a:off x="8077200" y="14163675"/>
          <a:ext cx="1704975" cy="104775"/>
          <a:chOff x="4493513" y="3727613"/>
          <a:chExt cx="1704975" cy="104775"/>
        </a:xfrm>
      </xdr:grpSpPr>
      <xdr:grpSp>
        <xdr:nvGrpSpPr>
          <xdr:cNvPr id="93" name="Shape 74"/>
          <xdr:cNvGrpSpPr/>
        </xdr:nvGrpSpPr>
        <xdr:grpSpPr>
          <a:xfrm>
            <a:off x="4493513" y="3727613"/>
            <a:ext cx="1704975" cy="104775"/>
            <a:chOff x="4493513" y="3732225"/>
            <a:chExt cx="1704900" cy="95400"/>
          </a:xfrm>
        </xdr:grpSpPr>
        <xdr:sp macro="" textlink="">
          <xdr:nvSpPr>
            <xdr:cNvPr id="94" name="Shape 54"/>
            <xdr:cNvSpPr/>
          </xdr:nvSpPr>
          <xdr:spPr>
            <a:xfrm>
              <a:off x="4493513" y="3732225"/>
              <a:ext cx="1704900" cy="95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5" name="Shape 75"/>
            <xdr:cNvCxnSpPr>
              <a:stCxn id="38" idx="3"/>
              <a:endCxn id="50" idx="1"/>
            </xdr:cNvCxnSpPr>
          </xdr:nvCxnSpPr>
          <xdr:spPr>
            <a:xfrm rot="10800000" flipH="1">
              <a:off x="4493513" y="3732225"/>
              <a:ext cx="1704900" cy="954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152400</xdr:colOff>
      <xdr:row>75</xdr:row>
      <xdr:rowOff>0</xdr:rowOff>
    </xdr:from>
    <xdr:ext cx="1714500" cy="123825"/>
    <xdr:grpSp>
      <xdr:nvGrpSpPr>
        <xdr:cNvPr id="96" name="Shape 2"/>
        <xdr:cNvGrpSpPr/>
      </xdr:nvGrpSpPr>
      <xdr:grpSpPr>
        <a:xfrm>
          <a:off x="8077200" y="14811375"/>
          <a:ext cx="1714500" cy="123825"/>
          <a:chOff x="4488750" y="3718088"/>
          <a:chExt cx="1714500" cy="123825"/>
        </a:xfrm>
      </xdr:grpSpPr>
      <xdr:grpSp>
        <xdr:nvGrpSpPr>
          <xdr:cNvPr id="97" name="Shape 76"/>
          <xdr:cNvGrpSpPr/>
        </xdr:nvGrpSpPr>
        <xdr:grpSpPr>
          <a:xfrm>
            <a:off x="4488750" y="3718088"/>
            <a:ext cx="1714500" cy="123825"/>
            <a:chOff x="4488750" y="3722850"/>
            <a:chExt cx="1714500" cy="114300"/>
          </a:xfrm>
        </xdr:grpSpPr>
        <xdr:sp macro="" textlink="">
          <xdr:nvSpPr>
            <xdr:cNvPr id="98" name="Shape 54"/>
            <xdr:cNvSpPr/>
          </xdr:nvSpPr>
          <xdr:spPr>
            <a:xfrm>
              <a:off x="4488750" y="3722850"/>
              <a:ext cx="1714500" cy="1143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9" name="Shape 77"/>
            <xdr:cNvCxnSpPr>
              <a:stCxn id="39" idx="3"/>
              <a:endCxn id="51" idx="1"/>
            </xdr:cNvCxnSpPr>
          </xdr:nvCxnSpPr>
          <xdr:spPr>
            <a:xfrm rot="10800000" flipH="1">
              <a:off x="4488750" y="3722850"/>
              <a:ext cx="1714500" cy="1143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8</xdr:col>
      <xdr:colOff>152400</xdr:colOff>
      <xdr:row>78</xdr:row>
      <xdr:rowOff>171450</xdr:rowOff>
    </xdr:from>
    <xdr:ext cx="1704975" cy="76200"/>
    <xdr:grpSp>
      <xdr:nvGrpSpPr>
        <xdr:cNvPr id="100" name="Shape 2"/>
        <xdr:cNvGrpSpPr/>
      </xdr:nvGrpSpPr>
      <xdr:grpSpPr>
        <a:xfrm>
          <a:off x="8077200" y="15582900"/>
          <a:ext cx="1704975" cy="76200"/>
          <a:chOff x="4493513" y="3741900"/>
          <a:chExt cx="1704975" cy="76200"/>
        </a:xfrm>
      </xdr:grpSpPr>
      <xdr:grpSp>
        <xdr:nvGrpSpPr>
          <xdr:cNvPr id="101" name="Shape 78"/>
          <xdr:cNvGrpSpPr/>
        </xdr:nvGrpSpPr>
        <xdr:grpSpPr>
          <a:xfrm>
            <a:off x="4493513" y="3741900"/>
            <a:ext cx="1704975" cy="76200"/>
            <a:chOff x="4493513" y="3746738"/>
            <a:chExt cx="1704900" cy="66600"/>
          </a:xfrm>
        </xdr:grpSpPr>
        <xdr:sp macro="" textlink="">
          <xdr:nvSpPr>
            <xdr:cNvPr id="102" name="Shape 54"/>
            <xdr:cNvSpPr/>
          </xdr:nvSpPr>
          <xdr:spPr>
            <a:xfrm>
              <a:off x="4493513" y="3746738"/>
              <a:ext cx="1704900" cy="66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3" name="Shape 79"/>
            <xdr:cNvCxnSpPr>
              <a:stCxn id="40" idx="3"/>
              <a:endCxn id="52" idx="1"/>
            </xdr:cNvCxnSpPr>
          </xdr:nvCxnSpPr>
          <xdr:spPr>
            <a:xfrm rot="10800000" flipH="1">
              <a:off x="4493513" y="3746738"/>
              <a:ext cx="1704900" cy="666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666750</xdr:colOff>
      <xdr:row>41</xdr:row>
      <xdr:rowOff>85725</xdr:rowOff>
    </xdr:from>
    <xdr:ext cx="876300" cy="38100"/>
    <xdr:grpSp>
      <xdr:nvGrpSpPr>
        <xdr:cNvPr id="104" name="Shape 2"/>
        <xdr:cNvGrpSpPr/>
      </xdr:nvGrpSpPr>
      <xdr:grpSpPr>
        <a:xfrm>
          <a:off x="4629150" y="8096250"/>
          <a:ext cx="876300" cy="38100"/>
          <a:chOff x="4907850" y="3760950"/>
          <a:chExt cx="876300" cy="38100"/>
        </a:xfrm>
      </xdr:grpSpPr>
      <xdr:grpSp>
        <xdr:nvGrpSpPr>
          <xdr:cNvPr id="105" name="Shape 80"/>
          <xdr:cNvGrpSpPr/>
        </xdr:nvGrpSpPr>
        <xdr:grpSpPr>
          <a:xfrm>
            <a:off x="4907850" y="3760950"/>
            <a:ext cx="876300" cy="38100"/>
            <a:chOff x="4907850" y="3765713"/>
            <a:chExt cx="876300" cy="28575"/>
          </a:xfrm>
        </xdr:grpSpPr>
        <xdr:sp macro="" textlink="">
          <xdr:nvSpPr>
            <xdr:cNvPr id="106" name="Shape 54"/>
            <xdr:cNvSpPr/>
          </xdr:nvSpPr>
          <xdr:spPr>
            <a:xfrm>
              <a:off x="4907850" y="3765713"/>
              <a:ext cx="876300" cy="2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7" name="Shape 81"/>
            <xdr:cNvCxnSpPr/>
          </xdr:nvCxnSpPr>
          <xdr:spPr>
            <a:xfrm rot="10800000" flipH="1">
              <a:off x="4907850" y="3765713"/>
              <a:ext cx="876300" cy="2857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657225</xdr:colOff>
      <xdr:row>44</xdr:row>
      <xdr:rowOff>180975</xdr:rowOff>
    </xdr:from>
    <xdr:ext cx="895350" cy="38100"/>
    <xdr:grpSp>
      <xdr:nvGrpSpPr>
        <xdr:cNvPr id="108" name="Shape 2"/>
        <xdr:cNvGrpSpPr/>
      </xdr:nvGrpSpPr>
      <xdr:grpSpPr>
        <a:xfrm>
          <a:off x="4619625" y="8791575"/>
          <a:ext cx="895350" cy="38100"/>
          <a:chOff x="4898325" y="3760950"/>
          <a:chExt cx="895350" cy="38100"/>
        </a:xfrm>
      </xdr:grpSpPr>
      <xdr:grpSp>
        <xdr:nvGrpSpPr>
          <xdr:cNvPr id="109" name="Shape 82"/>
          <xdr:cNvGrpSpPr/>
        </xdr:nvGrpSpPr>
        <xdr:grpSpPr>
          <a:xfrm>
            <a:off x="4898325" y="3760950"/>
            <a:ext cx="895350" cy="38100"/>
            <a:chOff x="4898325" y="3765788"/>
            <a:chExt cx="895200" cy="28500"/>
          </a:xfrm>
        </xdr:grpSpPr>
        <xdr:sp macro="" textlink="">
          <xdr:nvSpPr>
            <xdr:cNvPr id="110" name="Shape 54"/>
            <xdr:cNvSpPr/>
          </xdr:nvSpPr>
          <xdr:spPr>
            <a:xfrm>
              <a:off x="4898325" y="3765788"/>
              <a:ext cx="895200" cy="285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1" name="Shape 83"/>
            <xdr:cNvCxnSpPr>
              <a:stCxn id="18" idx="3"/>
              <a:endCxn id="30" idx="1"/>
            </xdr:cNvCxnSpPr>
          </xdr:nvCxnSpPr>
          <xdr:spPr>
            <a:xfrm rot="10800000" flipH="1">
              <a:off x="4898325" y="3765788"/>
              <a:ext cx="895200" cy="285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676275</xdr:colOff>
      <xdr:row>48</xdr:row>
      <xdr:rowOff>95250</xdr:rowOff>
    </xdr:from>
    <xdr:ext cx="895350" cy="38100"/>
    <xdr:grpSp>
      <xdr:nvGrpSpPr>
        <xdr:cNvPr id="112" name="Shape 2"/>
        <xdr:cNvGrpSpPr/>
      </xdr:nvGrpSpPr>
      <xdr:grpSpPr>
        <a:xfrm>
          <a:off x="4638675" y="9505950"/>
          <a:ext cx="895350" cy="38100"/>
          <a:chOff x="4898325" y="3760949"/>
          <a:chExt cx="895350" cy="38100"/>
        </a:xfrm>
      </xdr:grpSpPr>
      <xdr:grpSp>
        <xdr:nvGrpSpPr>
          <xdr:cNvPr id="113" name="Shape 84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14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5" name="Shape 85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666750</xdr:colOff>
      <xdr:row>51</xdr:row>
      <xdr:rowOff>114300</xdr:rowOff>
    </xdr:from>
    <xdr:ext cx="895350" cy="38100"/>
    <xdr:grpSp>
      <xdr:nvGrpSpPr>
        <xdr:cNvPr id="116" name="Shape 2"/>
        <xdr:cNvGrpSpPr/>
      </xdr:nvGrpSpPr>
      <xdr:grpSpPr>
        <a:xfrm>
          <a:off x="4629150" y="10125075"/>
          <a:ext cx="895350" cy="38100"/>
          <a:chOff x="4898325" y="3760949"/>
          <a:chExt cx="895350" cy="38100"/>
        </a:xfrm>
      </xdr:grpSpPr>
      <xdr:grpSp>
        <xdr:nvGrpSpPr>
          <xdr:cNvPr id="117" name="Shape 86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18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9" name="Shape 87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695325</xdr:colOff>
      <xdr:row>54</xdr:row>
      <xdr:rowOff>133350</xdr:rowOff>
    </xdr:from>
    <xdr:ext cx="895350" cy="38100"/>
    <xdr:grpSp>
      <xdr:nvGrpSpPr>
        <xdr:cNvPr id="120" name="Shape 2"/>
        <xdr:cNvGrpSpPr/>
      </xdr:nvGrpSpPr>
      <xdr:grpSpPr>
        <a:xfrm>
          <a:off x="4657725" y="10744200"/>
          <a:ext cx="895350" cy="38100"/>
          <a:chOff x="4898325" y="3760949"/>
          <a:chExt cx="895350" cy="38100"/>
        </a:xfrm>
      </xdr:grpSpPr>
      <xdr:grpSp>
        <xdr:nvGrpSpPr>
          <xdr:cNvPr id="121" name="Shape 88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22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3" name="Shape 89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666750</xdr:colOff>
      <xdr:row>58</xdr:row>
      <xdr:rowOff>123825</xdr:rowOff>
    </xdr:from>
    <xdr:ext cx="895350" cy="38100"/>
    <xdr:grpSp>
      <xdr:nvGrpSpPr>
        <xdr:cNvPr id="124" name="Shape 2"/>
        <xdr:cNvGrpSpPr/>
      </xdr:nvGrpSpPr>
      <xdr:grpSpPr>
        <a:xfrm>
          <a:off x="4629150" y="11534775"/>
          <a:ext cx="895350" cy="38100"/>
          <a:chOff x="4898325" y="3760949"/>
          <a:chExt cx="895350" cy="38100"/>
        </a:xfrm>
      </xdr:grpSpPr>
      <xdr:grpSp>
        <xdr:nvGrpSpPr>
          <xdr:cNvPr id="125" name="Shape 90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26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7" name="Shape 91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638175</xdr:colOff>
      <xdr:row>62</xdr:row>
      <xdr:rowOff>-9525</xdr:rowOff>
    </xdr:from>
    <xdr:ext cx="895350" cy="38100"/>
    <xdr:grpSp>
      <xdr:nvGrpSpPr>
        <xdr:cNvPr id="128" name="Shape 2"/>
        <xdr:cNvGrpSpPr/>
      </xdr:nvGrpSpPr>
      <xdr:grpSpPr>
        <a:xfrm>
          <a:off x="4600575" y="12201525"/>
          <a:ext cx="895350" cy="38100"/>
          <a:chOff x="4898325" y="3760949"/>
          <a:chExt cx="895350" cy="38100"/>
        </a:xfrm>
      </xdr:grpSpPr>
      <xdr:grpSp>
        <xdr:nvGrpSpPr>
          <xdr:cNvPr id="129" name="Shape 92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30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1" name="Shape 93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666750</xdr:colOff>
      <xdr:row>65</xdr:row>
      <xdr:rowOff>95250</xdr:rowOff>
    </xdr:from>
    <xdr:ext cx="895350" cy="38100"/>
    <xdr:grpSp>
      <xdr:nvGrpSpPr>
        <xdr:cNvPr id="132" name="Shape 2"/>
        <xdr:cNvGrpSpPr/>
      </xdr:nvGrpSpPr>
      <xdr:grpSpPr>
        <a:xfrm>
          <a:off x="4629150" y="12906375"/>
          <a:ext cx="895350" cy="38100"/>
          <a:chOff x="4898325" y="3760949"/>
          <a:chExt cx="895350" cy="38100"/>
        </a:xfrm>
      </xdr:grpSpPr>
      <xdr:grpSp>
        <xdr:nvGrpSpPr>
          <xdr:cNvPr id="133" name="Shape 94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34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5" name="Shape 95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657225</xdr:colOff>
      <xdr:row>68</xdr:row>
      <xdr:rowOff>152400</xdr:rowOff>
    </xdr:from>
    <xdr:ext cx="895350" cy="38100"/>
    <xdr:grpSp>
      <xdr:nvGrpSpPr>
        <xdr:cNvPr id="136" name="Shape 2"/>
        <xdr:cNvGrpSpPr/>
      </xdr:nvGrpSpPr>
      <xdr:grpSpPr>
        <a:xfrm>
          <a:off x="4619625" y="13563600"/>
          <a:ext cx="895350" cy="38100"/>
          <a:chOff x="4898325" y="3760949"/>
          <a:chExt cx="895350" cy="38100"/>
        </a:xfrm>
      </xdr:grpSpPr>
      <xdr:grpSp>
        <xdr:nvGrpSpPr>
          <xdr:cNvPr id="137" name="Shape 96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38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9" name="Shape 97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666750</xdr:colOff>
      <xdr:row>72</xdr:row>
      <xdr:rowOff>66675</xdr:rowOff>
    </xdr:from>
    <xdr:ext cx="895350" cy="38100"/>
    <xdr:grpSp>
      <xdr:nvGrpSpPr>
        <xdr:cNvPr id="140" name="Shape 2"/>
        <xdr:cNvGrpSpPr/>
      </xdr:nvGrpSpPr>
      <xdr:grpSpPr>
        <a:xfrm>
          <a:off x="4629150" y="14277975"/>
          <a:ext cx="895350" cy="38100"/>
          <a:chOff x="4898325" y="3760949"/>
          <a:chExt cx="895350" cy="38100"/>
        </a:xfrm>
      </xdr:grpSpPr>
      <xdr:grpSp>
        <xdr:nvGrpSpPr>
          <xdr:cNvPr id="141" name="Shape 98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42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3" name="Shape 99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714375</xdr:colOff>
      <xdr:row>75</xdr:row>
      <xdr:rowOff>66675</xdr:rowOff>
    </xdr:from>
    <xdr:ext cx="895350" cy="38100"/>
    <xdr:grpSp>
      <xdr:nvGrpSpPr>
        <xdr:cNvPr id="144" name="Shape 2"/>
        <xdr:cNvGrpSpPr/>
      </xdr:nvGrpSpPr>
      <xdr:grpSpPr>
        <a:xfrm>
          <a:off x="4676775" y="14878050"/>
          <a:ext cx="895350" cy="38100"/>
          <a:chOff x="4898325" y="3760949"/>
          <a:chExt cx="895350" cy="38100"/>
        </a:xfrm>
      </xdr:grpSpPr>
      <xdr:grpSp>
        <xdr:nvGrpSpPr>
          <xdr:cNvPr id="145" name="Shape 100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46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7" name="Shape 101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647700</xdr:colOff>
      <xdr:row>78</xdr:row>
      <xdr:rowOff>142875</xdr:rowOff>
    </xdr:from>
    <xdr:ext cx="895350" cy="38100"/>
    <xdr:grpSp>
      <xdr:nvGrpSpPr>
        <xdr:cNvPr id="148" name="Shape 2"/>
        <xdr:cNvGrpSpPr/>
      </xdr:nvGrpSpPr>
      <xdr:grpSpPr>
        <a:xfrm>
          <a:off x="4610100" y="15554325"/>
          <a:ext cx="895350" cy="38100"/>
          <a:chOff x="4898325" y="3760949"/>
          <a:chExt cx="895350" cy="38100"/>
        </a:xfrm>
      </xdr:grpSpPr>
      <xdr:grpSp>
        <xdr:nvGrpSpPr>
          <xdr:cNvPr id="149" name="Shape 102"/>
          <xdr:cNvGrpSpPr/>
        </xdr:nvGrpSpPr>
        <xdr:grpSpPr>
          <a:xfrm>
            <a:off x="4898325" y="3760949"/>
            <a:ext cx="895350" cy="38100"/>
            <a:chOff x="4898325" y="3775238"/>
            <a:chExt cx="895350" cy="9525"/>
          </a:xfrm>
        </xdr:grpSpPr>
        <xdr:sp macro="" textlink="">
          <xdr:nvSpPr>
            <xdr:cNvPr id="150" name="Shape 54"/>
            <xdr:cNvSpPr/>
          </xdr:nvSpPr>
          <xdr:spPr>
            <a:xfrm>
              <a:off x="4898325" y="3775238"/>
              <a:ext cx="895350" cy="95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1" name="Shape 103"/>
            <xdr:cNvCxnSpPr/>
          </xdr:nvCxnSpPr>
          <xdr:spPr>
            <a:xfrm rot="10800000" flipH="1">
              <a:off x="4898325" y="3775238"/>
              <a:ext cx="895350" cy="95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2</xdr:col>
      <xdr:colOff>647700</xdr:colOff>
      <xdr:row>8</xdr:row>
      <xdr:rowOff>57150</xdr:rowOff>
    </xdr:from>
    <xdr:ext cx="3276600" cy="571500"/>
    <xdr:grpSp>
      <xdr:nvGrpSpPr>
        <xdr:cNvPr id="152" name="Shape 2"/>
        <xdr:cNvGrpSpPr/>
      </xdr:nvGrpSpPr>
      <xdr:grpSpPr>
        <a:xfrm>
          <a:off x="2628900" y="1581150"/>
          <a:ext cx="3276600" cy="571500"/>
          <a:chOff x="3707700" y="3494250"/>
          <a:chExt cx="3276600" cy="571500"/>
        </a:xfrm>
      </xdr:grpSpPr>
      <xdr:grpSp>
        <xdr:nvGrpSpPr>
          <xdr:cNvPr id="153" name="Shape 104"/>
          <xdr:cNvGrpSpPr/>
        </xdr:nvGrpSpPr>
        <xdr:grpSpPr>
          <a:xfrm>
            <a:off x="3707700" y="3494250"/>
            <a:ext cx="3276600" cy="571500"/>
            <a:chOff x="3707701" y="3499013"/>
            <a:chExt cx="3276600" cy="561900"/>
          </a:xfrm>
        </xdr:grpSpPr>
        <xdr:sp macro="" textlink="">
          <xdr:nvSpPr>
            <xdr:cNvPr id="154" name="Shape 54"/>
            <xdr:cNvSpPr/>
          </xdr:nvSpPr>
          <xdr:spPr>
            <a:xfrm>
              <a:off x="3707701" y="3499013"/>
              <a:ext cx="3276600" cy="561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5" name="Shape 105"/>
            <xdr:cNvCxnSpPr>
              <a:stCxn id="5" idx="2"/>
              <a:endCxn id="4" idx="0"/>
            </xdr:cNvCxnSpPr>
          </xdr:nvCxnSpPr>
          <xdr:spPr>
            <a:xfrm flipH="1">
              <a:off x="3707701" y="3499013"/>
              <a:ext cx="3276600" cy="561900"/>
            </a:xfrm>
            <a:prstGeom prst="bentConnector3">
              <a:avLst>
                <a:gd name="adj1" fmla="val 17076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5</xdr:col>
      <xdr:colOff>952500</xdr:colOff>
      <xdr:row>8</xdr:row>
      <xdr:rowOff>57150</xdr:rowOff>
    </xdr:from>
    <xdr:ext cx="3686175" cy="571500"/>
    <xdr:grpSp>
      <xdr:nvGrpSpPr>
        <xdr:cNvPr id="156" name="Shape 2"/>
        <xdr:cNvGrpSpPr/>
      </xdr:nvGrpSpPr>
      <xdr:grpSpPr>
        <a:xfrm>
          <a:off x="5905500" y="1581150"/>
          <a:ext cx="3686175" cy="571500"/>
          <a:chOff x="3502913" y="3494250"/>
          <a:chExt cx="3686175" cy="571500"/>
        </a:xfrm>
      </xdr:grpSpPr>
      <xdr:grpSp>
        <xdr:nvGrpSpPr>
          <xdr:cNvPr id="157" name="Shape 106"/>
          <xdr:cNvGrpSpPr/>
        </xdr:nvGrpSpPr>
        <xdr:grpSpPr>
          <a:xfrm>
            <a:off x="3502913" y="3494250"/>
            <a:ext cx="3686175" cy="571500"/>
            <a:chOff x="3507675" y="3499013"/>
            <a:chExt cx="3676800" cy="561900"/>
          </a:xfrm>
        </xdr:grpSpPr>
        <xdr:sp macro="" textlink="">
          <xdr:nvSpPr>
            <xdr:cNvPr id="158" name="Shape 54"/>
            <xdr:cNvSpPr/>
          </xdr:nvSpPr>
          <xdr:spPr>
            <a:xfrm>
              <a:off x="3507675" y="3499013"/>
              <a:ext cx="3676800" cy="561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9" name="Shape 107"/>
            <xdr:cNvCxnSpPr>
              <a:stCxn id="5" idx="2"/>
              <a:endCxn id="8" idx="0"/>
            </xdr:cNvCxnSpPr>
          </xdr:nvCxnSpPr>
          <xdr:spPr>
            <a:xfrm>
              <a:off x="3507675" y="3499013"/>
              <a:ext cx="3676800" cy="561900"/>
            </a:xfrm>
            <a:prstGeom prst="bentConnector3">
              <a:avLst>
                <a:gd name="adj1" fmla="val -15176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762000</xdr:colOff>
      <xdr:row>8</xdr:row>
      <xdr:rowOff>57150</xdr:rowOff>
    </xdr:from>
    <xdr:ext cx="1181100" cy="581025"/>
    <xdr:grpSp>
      <xdr:nvGrpSpPr>
        <xdr:cNvPr id="160" name="Shape 2"/>
        <xdr:cNvGrpSpPr/>
      </xdr:nvGrpSpPr>
      <xdr:grpSpPr>
        <a:xfrm>
          <a:off x="4724400" y="1581150"/>
          <a:ext cx="1181100" cy="581025"/>
          <a:chOff x="4755450" y="3489488"/>
          <a:chExt cx="1181100" cy="581025"/>
        </a:xfrm>
      </xdr:grpSpPr>
      <xdr:grpSp>
        <xdr:nvGrpSpPr>
          <xdr:cNvPr id="161" name="Shape 108"/>
          <xdr:cNvGrpSpPr/>
        </xdr:nvGrpSpPr>
        <xdr:grpSpPr>
          <a:xfrm>
            <a:off x="4755450" y="3489488"/>
            <a:ext cx="1181100" cy="581025"/>
            <a:chOff x="4755450" y="3494250"/>
            <a:chExt cx="1181100" cy="571500"/>
          </a:xfrm>
        </xdr:grpSpPr>
        <xdr:sp macro="" textlink="">
          <xdr:nvSpPr>
            <xdr:cNvPr id="162" name="Shape 54"/>
            <xdr:cNvSpPr/>
          </xdr:nvSpPr>
          <xdr:spPr>
            <a:xfrm>
              <a:off x="4755450" y="3494250"/>
              <a:ext cx="1181100" cy="5715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3" name="Shape 109"/>
            <xdr:cNvCxnSpPr>
              <a:stCxn id="5" idx="2"/>
              <a:endCxn id="6" idx="0"/>
            </xdr:cNvCxnSpPr>
          </xdr:nvCxnSpPr>
          <xdr:spPr>
            <a:xfrm flipH="1">
              <a:off x="4755450" y="3494250"/>
              <a:ext cx="1181100" cy="571500"/>
            </a:xfrm>
            <a:prstGeom prst="bentConnector3">
              <a:avLst>
                <a:gd name="adj1" fmla="val 47371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5</xdr:col>
      <xdr:colOff>952500</xdr:colOff>
      <xdr:row>8</xdr:row>
      <xdr:rowOff>57150</xdr:rowOff>
    </xdr:from>
    <xdr:ext cx="1085850" cy="476250"/>
    <xdr:grpSp>
      <xdr:nvGrpSpPr>
        <xdr:cNvPr id="164" name="Shape 2"/>
        <xdr:cNvGrpSpPr/>
      </xdr:nvGrpSpPr>
      <xdr:grpSpPr>
        <a:xfrm>
          <a:off x="5905500" y="1581150"/>
          <a:ext cx="1085850" cy="476250"/>
          <a:chOff x="4803075" y="3541875"/>
          <a:chExt cx="1085850" cy="476250"/>
        </a:xfrm>
      </xdr:grpSpPr>
      <xdr:grpSp>
        <xdr:nvGrpSpPr>
          <xdr:cNvPr id="165" name="Shape 110"/>
          <xdr:cNvGrpSpPr/>
        </xdr:nvGrpSpPr>
        <xdr:grpSpPr>
          <a:xfrm>
            <a:off x="4803075" y="3541875"/>
            <a:ext cx="1085850" cy="476250"/>
            <a:chOff x="4807838" y="3541875"/>
            <a:chExt cx="1076400" cy="476100"/>
          </a:xfrm>
        </xdr:grpSpPr>
        <xdr:sp macro="" textlink="">
          <xdr:nvSpPr>
            <xdr:cNvPr id="166" name="Shape 54"/>
            <xdr:cNvSpPr/>
          </xdr:nvSpPr>
          <xdr:spPr>
            <a:xfrm>
              <a:off x="4807838" y="3541875"/>
              <a:ext cx="1076400" cy="476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7" name="Shape 111"/>
            <xdr:cNvCxnSpPr>
              <a:stCxn id="5" idx="2"/>
              <a:endCxn id="7" idx="0"/>
            </xdr:cNvCxnSpPr>
          </xdr:nvCxnSpPr>
          <xdr:spPr>
            <a:xfrm>
              <a:off x="4807838" y="3541875"/>
              <a:ext cx="1076400" cy="476100"/>
            </a:xfrm>
            <a:prstGeom prst="bentConnector3">
              <a:avLst>
                <a:gd name="adj1" fmla="val -47392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5</xdr:col>
      <xdr:colOff>952500</xdr:colOff>
      <xdr:row>8</xdr:row>
      <xdr:rowOff>57150</xdr:rowOff>
    </xdr:from>
    <xdr:ext cx="3286125" cy="571500"/>
    <xdr:grpSp>
      <xdr:nvGrpSpPr>
        <xdr:cNvPr id="168" name="Shape 2"/>
        <xdr:cNvGrpSpPr/>
      </xdr:nvGrpSpPr>
      <xdr:grpSpPr>
        <a:xfrm>
          <a:off x="5905500" y="1581150"/>
          <a:ext cx="3286125" cy="571500"/>
          <a:chOff x="-4233889" y="3494250"/>
          <a:chExt cx="19159780" cy="571500"/>
        </a:xfrm>
      </xdr:grpSpPr>
      <xdr:grpSp>
        <xdr:nvGrpSpPr>
          <xdr:cNvPr id="169" name="Shape 112"/>
          <xdr:cNvGrpSpPr/>
        </xdr:nvGrpSpPr>
        <xdr:grpSpPr>
          <a:xfrm>
            <a:off x="-4233889" y="3494250"/>
            <a:ext cx="19159780" cy="571500"/>
            <a:chOff x="3707701" y="2141700"/>
            <a:chExt cx="3276600" cy="3276600"/>
          </a:xfrm>
        </xdr:grpSpPr>
        <xdr:sp macro="" textlink="">
          <xdr:nvSpPr>
            <xdr:cNvPr id="170" name="Shape 54"/>
            <xdr:cNvSpPr/>
          </xdr:nvSpPr>
          <xdr:spPr>
            <a:xfrm>
              <a:off x="5065013" y="2141700"/>
              <a:ext cx="561975" cy="3276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1" name="Shape 113"/>
            <xdr:cNvCxnSpPr/>
          </xdr:nvCxnSpPr>
          <xdr:spPr>
            <a:xfrm rot="5400000">
              <a:off x="5065013" y="2141700"/>
              <a:ext cx="561975" cy="3276600"/>
            </a:xfrm>
            <a:prstGeom prst="bentConnector3">
              <a:avLst>
                <a:gd name="adj1" fmla="val 2001767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2</xdr:col>
      <xdr:colOff>638175</xdr:colOff>
      <xdr:row>24</xdr:row>
      <xdr:rowOff>85725</xdr:rowOff>
    </xdr:from>
    <xdr:ext cx="3524250" cy="457200"/>
    <xdr:grpSp>
      <xdr:nvGrpSpPr>
        <xdr:cNvPr id="172" name="Shape 2"/>
        <xdr:cNvGrpSpPr/>
      </xdr:nvGrpSpPr>
      <xdr:grpSpPr>
        <a:xfrm>
          <a:off x="2619375" y="4695825"/>
          <a:ext cx="3524250" cy="457200"/>
          <a:chOff x="3583875" y="3551400"/>
          <a:chExt cx="3524250" cy="457200"/>
        </a:xfrm>
      </xdr:grpSpPr>
      <xdr:grpSp>
        <xdr:nvGrpSpPr>
          <xdr:cNvPr id="173" name="Shape 114"/>
          <xdr:cNvGrpSpPr/>
        </xdr:nvGrpSpPr>
        <xdr:grpSpPr>
          <a:xfrm>
            <a:off x="3583875" y="3551400"/>
            <a:ext cx="3524250" cy="457200"/>
            <a:chOff x="3588638" y="3556163"/>
            <a:chExt cx="3514800" cy="447600"/>
          </a:xfrm>
        </xdr:grpSpPr>
        <xdr:sp macro="" textlink="">
          <xdr:nvSpPr>
            <xdr:cNvPr id="174" name="Shape 54"/>
            <xdr:cNvSpPr/>
          </xdr:nvSpPr>
          <xdr:spPr>
            <a:xfrm>
              <a:off x="3588638" y="3556163"/>
              <a:ext cx="3514800" cy="447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5" name="Shape 115"/>
            <xdr:cNvCxnSpPr>
              <a:stCxn id="9" idx="2"/>
              <a:endCxn id="13" idx="0"/>
            </xdr:cNvCxnSpPr>
          </xdr:nvCxnSpPr>
          <xdr:spPr>
            <a:xfrm>
              <a:off x="3588638" y="3556163"/>
              <a:ext cx="3514800" cy="447600"/>
            </a:xfrm>
            <a:prstGeom prst="bentConnector3">
              <a:avLst>
                <a:gd name="adj1" fmla="val 77369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771525</xdr:colOff>
      <xdr:row>22</xdr:row>
      <xdr:rowOff>0</xdr:rowOff>
    </xdr:from>
    <xdr:ext cx="1409700" cy="942975"/>
    <xdr:grpSp>
      <xdr:nvGrpSpPr>
        <xdr:cNvPr id="176" name="Shape 2"/>
        <xdr:cNvGrpSpPr/>
      </xdr:nvGrpSpPr>
      <xdr:grpSpPr>
        <a:xfrm>
          <a:off x="4733925" y="4210050"/>
          <a:ext cx="1409700" cy="942975"/>
          <a:chOff x="4641150" y="3308513"/>
          <a:chExt cx="1409700" cy="942975"/>
        </a:xfrm>
      </xdr:grpSpPr>
      <xdr:grpSp>
        <xdr:nvGrpSpPr>
          <xdr:cNvPr id="177" name="Shape 116"/>
          <xdr:cNvGrpSpPr/>
        </xdr:nvGrpSpPr>
        <xdr:grpSpPr>
          <a:xfrm>
            <a:off x="4641150" y="3308513"/>
            <a:ext cx="1409700" cy="942975"/>
            <a:chOff x="4645913" y="3313275"/>
            <a:chExt cx="1400100" cy="933600"/>
          </a:xfrm>
        </xdr:grpSpPr>
        <xdr:sp macro="" textlink="">
          <xdr:nvSpPr>
            <xdr:cNvPr id="178" name="Shape 54"/>
            <xdr:cNvSpPr/>
          </xdr:nvSpPr>
          <xdr:spPr>
            <a:xfrm>
              <a:off x="4645913" y="3313275"/>
              <a:ext cx="1400100" cy="933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9" name="Shape 117"/>
            <xdr:cNvCxnSpPr>
              <a:stCxn id="10" idx="2"/>
              <a:endCxn id="13" idx="0"/>
            </xdr:cNvCxnSpPr>
          </xdr:nvCxnSpPr>
          <xdr:spPr>
            <a:xfrm>
              <a:off x="4645913" y="3313275"/>
              <a:ext cx="1400100" cy="933600"/>
            </a:xfrm>
            <a:prstGeom prst="bentConnector3">
              <a:avLst>
                <a:gd name="adj1" fmla="val 43416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6</xdr:col>
      <xdr:colOff>190500</xdr:colOff>
      <xdr:row>22</xdr:row>
      <xdr:rowOff>38100</xdr:rowOff>
    </xdr:from>
    <xdr:ext cx="990600" cy="904875"/>
    <xdr:grpSp>
      <xdr:nvGrpSpPr>
        <xdr:cNvPr id="180" name="Shape 2"/>
        <xdr:cNvGrpSpPr/>
      </xdr:nvGrpSpPr>
      <xdr:grpSpPr>
        <a:xfrm>
          <a:off x="6134100" y="4248150"/>
          <a:ext cx="990600" cy="904875"/>
          <a:chOff x="4850700" y="3327563"/>
          <a:chExt cx="990600" cy="904875"/>
        </a:xfrm>
      </xdr:grpSpPr>
      <xdr:grpSp>
        <xdr:nvGrpSpPr>
          <xdr:cNvPr id="181" name="Shape 118"/>
          <xdr:cNvGrpSpPr/>
        </xdr:nvGrpSpPr>
        <xdr:grpSpPr>
          <a:xfrm>
            <a:off x="4850700" y="3327563"/>
            <a:ext cx="990600" cy="904875"/>
            <a:chOff x="4850700" y="3332325"/>
            <a:chExt cx="990600" cy="895200"/>
          </a:xfrm>
        </xdr:grpSpPr>
        <xdr:sp macro="" textlink="">
          <xdr:nvSpPr>
            <xdr:cNvPr id="182" name="Shape 54"/>
            <xdr:cNvSpPr/>
          </xdr:nvSpPr>
          <xdr:spPr>
            <a:xfrm>
              <a:off x="4850700" y="3332325"/>
              <a:ext cx="990600" cy="8952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3" name="Shape 119"/>
            <xdr:cNvCxnSpPr>
              <a:stCxn id="11" idx="2"/>
              <a:endCxn id="13" idx="0"/>
            </xdr:cNvCxnSpPr>
          </xdr:nvCxnSpPr>
          <xdr:spPr>
            <a:xfrm flipH="1">
              <a:off x="4850700" y="3332325"/>
              <a:ext cx="990600" cy="895200"/>
            </a:xfrm>
            <a:prstGeom prst="bentConnector3">
              <a:avLst>
                <a:gd name="adj1" fmla="val 179558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6</xdr:col>
      <xdr:colOff>190500</xdr:colOff>
      <xdr:row>20</xdr:row>
      <xdr:rowOff>104775</xdr:rowOff>
    </xdr:from>
    <xdr:ext cx="3448050" cy="1238250"/>
    <xdr:grpSp>
      <xdr:nvGrpSpPr>
        <xdr:cNvPr id="184" name="Shape 2"/>
        <xdr:cNvGrpSpPr/>
      </xdr:nvGrpSpPr>
      <xdr:grpSpPr>
        <a:xfrm>
          <a:off x="6134100" y="3914775"/>
          <a:ext cx="3448050" cy="1238250"/>
          <a:chOff x="3621975" y="3160875"/>
          <a:chExt cx="3448051" cy="1238250"/>
        </a:xfrm>
      </xdr:grpSpPr>
      <xdr:grpSp>
        <xdr:nvGrpSpPr>
          <xdr:cNvPr id="185" name="Shape 120"/>
          <xdr:cNvGrpSpPr/>
        </xdr:nvGrpSpPr>
        <xdr:grpSpPr>
          <a:xfrm>
            <a:off x="3621975" y="3160875"/>
            <a:ext cx="3448051" cy="1238250"/>
            <a:chOff x="3626663" y="3165638"/>
            <a:chExt cx="3438600" cy="1228800"/>
          </a:xfrm>
        </xdr:grpSpPr>
        <xdr:sp macro="" textlink="">
          <xdr:nvSpPr>
            <xdr:cNvPr id="186" name="Shape 54"/>
            <xdr:cNvSpPr/>
          </xdr:nvSpPr>
          <xdr:spPr>
            <a:xfrm>
              <a:off x="3626663" y="3165638"/>
              <a:ext cx="3438600" cy="12288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7" name="Shape 121"/>
            <xdr:cNvCxnSpPr>
              <a:stCxn id="12" idx="2"/>
              <a:endCxn id="13" idx="0"/>
            </xdr:cNvCxnSpPr>
          </xdr:nvCxnSpPr>
          <xdr:spPr>
            <a:xfrm flipH="1">
              <a:off x="3626663" y="3165638"/>
              <a:ext cx="3438600" cy="1228800"/>
            </a:xfrm>
            <a:prstGeom prst="bentConnector3">
              <a:avLst>
                <a:gd name="adj1" fmla="val 122857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85725</xdr:colOff>
      <xdr:row>36</xdr:row>
      <xdr:rowOff>180975</xdr:rowOff>
    </xdr:from>
    <xdr:ext cx="28575" cy="752475"/>
    <xdr:grpSp>
      <xdr:nvGrpSpPr>
        <xdr:cNvPr id="188" name="Shape 2"/>
        <xdr:cNvGrpSpPr/>
      </xdr:nvGrpSpPr>
      <xdr:grpSpPr>
        <a:xfrm>
          <a:off x="4048125" y="7191375"/>
          <a:ext cx="28575" cy="752475"/>
          <a:chOff x="5331713" y="3403763"/>
          <a:chExt cx="28575" cy="752475"/>
        </a:xfrm>
      </xdr:grpSpPr>
      <xdr:grpSp>
        <xdr:nvGrpSpPr>
          <xdr:cNvPr id="189" name="Shape 122"/>
          <xdr:cNvGrpSpPr/>
        </xdr:nvGrpSpPr>
        <xdr:grpSpPr>
          <a:xfrm>
            <a:off x="5331713" y="3403763"/>
            <a:ext cx="28575" cy="752475"/>
            <a:chOff x="5341163" y="3403763"/>
            <a:chExt cx="9600" cy="752400"/>
          </a:xfrm>
        </xdr:grpSpPr>
        <xdr:sp macro="" textlink="">
          <xdr:nvSpPr>
            <xdr:cNvPr id="190" name="Shape 54"/>
            <xdr:cNvSpPr/>
          </xdr:nvSpPr>
          <xdr:spPr>
            <a:xfrm>
              <a:off x="5341163" y="3403763"/>
              <a:ext cx="9600" cy="752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1" name="Shape 123"/>
            <xdr:cNvCxnSpPr>
              <a:stCxn id="16" idx="2"/>
              <a:endCxn id="17" idx="0"/>
            </xdr:cNvCxnSpPr>
          </xdr:nvCxnSpPr>
          <xdr:spPr>
            <a:xfrm flipH="1">
              <a:off x="5341163" y="3403763"/>
              <a:ext cx="9600" cy="7524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76200</xdr:colOff>
      <xdr:row>42</xdr:row>
      <xdr:rowOff>152400</xdr:rowOff>
    </xdr:from>
    <xdr:ext cx="28575" cy="247650"/>
    <xdr:grpSp>
      <xdr:nvGrpSpPr>
        <xdr:cNvPr id="192" name="Shape 2"/>
        <xdr:cNvGrpSpPr/>
      </xdr:nvGrpSpPr>
      <xdr:grpSpPr>
        <a:xfrm>
          <a:off x="4038600" y="8362950"/>
          <a:ext cx="28575" cy="247650"/>
          <a:chOff x="5331713" y="3656175"/>
          <a:chExt cx="28575" cy="247650"/>
        </a:xfrm>
      </xdr:grpSpPr>
      <xdr:grpSp>
        <xdr:nvGrpSpPr>
          <xdr:cNvPr id="193" name="Shape 124"/>
          <xdr:cNvGrpSpPr/>
        </xdr:nvGrpSpPr>
        <xdr:grpSpPr>
          <a:xfrm>
            <a:off x="5331713" y="3656175"/>
            <a:ext cx="28575" cy="247650"/>
            <a:chOff x="5341163" y="3656175"/>
            <a:chExt cx="9600" cy="247500"/>
          </a:xfrm>
        </xdr:grpSpPr>
        <xdr:sp macro="" textlink="">
          <xdr:nvSpPr>
            <xdr:cNvPr id="194" name="Shape 54"/>
            <xdr:cNvSpPr/>
          </xdr:nvSpPr>
          <xdr:spPr>
            <a:xfrm>
              <a:off x="5341163" y="3656175"/>
              <a:ext cx="9600" cy="2475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5" name="Shape 125"/>
            <xdr:cNvCxnSpPr>
              <a:stCxn id="17" idx="2"/>
              <a:endCxn id="18" idx="0"/>
            </xdr:cNvCxnSpPr>
          </xdr:nvCxnSpPr>
          <xdr:spPr>
            <a:xfrm flipH="1">
              <a:off x="5341163" y="3656175"/>
              <a:ext cx="9600" cy="2475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76200</xdr:colOff>
      <xdr:row>46</xdr:row>
      <xdr:rowOff>38100</xdr:rowOff>
    </xdr:from>
    <xdr:ext cx="28575" cy="238125"/>
    <xdr:grpSp>
      <xdr:nvGrpSpPr>
        <xdr:cNvPr id="196" name="Shape 2"/>
        <xdr:cNvGrpSpPr/>
      </xdr:nvGrpSpPr>
      <xdr:grpSpPr>
        <a:xfrm>
          <a:off x="4038600" y="9048750"/>
          <a:ext cx="28575" cy="238125"/>
          <a:chOff x="5331713" y="3660938"/>
          <a:chExt cx="28575" cy="238125"/>
        </a:xfrm>
      </xdr:grpSpPr>
      <xdr:grpSp>
        <xdr:nvGrpSpPr>
          <xdr:cNvPr id="197" name="Shape 126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198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9" name="Shape 127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</xdr:colOff>
      <xdr:row>49</xdr:row>
      <xdr:rowOff>114300</xdr:rowOff>
    </xdr:from>
    <xdr:ext cx="28575" cy="238125"/>
    <xdr:grpSp>
      <xdr:nvGrpSpPr>
        <xdr:cNvPr id="200" name="Shape 2"/>
        <xdr:cNvGrpSpPr/>
      </xdr:nvGrpSpPr>
      <xdr:grpSpPr>
        <a:xfrm>
          <a:off x="4029075" y="9725025"/>
          <a:ext cx="28575" cy="238125"/>
          <a:chOff x="5331713" y="3660938"/>
          <a:chExt cx="28575" cy="238125"/>
        </a:xfrm>
      </xdr:grpSpPr>
      <xdr:grpSp>
        <xdr:nvGrpSpPr>
          <xdr:cNvPr id="201" name="Shape 128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02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3" name="Shape 129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57150</xdr:colOff>
      <xdr:row>53</xdr:row>
      <xdr:rowOff>0</xdr:rowOff>
    </xdr:from>
    <xdr:ext cx="28575" cy="238125"/>
    <xdr:grpSp>
      <xdr:nvGrpSpPr>
        <xdr:cNvPr id="204" name="Shape 2"/>
        <xdr:cNvGrpSpPr/>
      </xdr:nvGrpSpPr>
      <xdr:grpSpPr>
        <a:xfrm>
          <a:off x="4019550" y="10410825"/>
          <a:ext cx="28575" cy="238125"/>
          <a:chOff x="5331713" y="3660938"/>
          <a:chExt cx="28575" cy="238125"/>
        </a:xfrm>
      </xdr:grpSpPr>
      <xdr:grpSp>
        <xdr:nvGrpSpPr>
          <xdr:cNvPr id="205" name="Shape 130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06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7" name="Shape 131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66675</xdr:colOff>
      <xdr:row>56</xdr:row>
      <xdr:rowOff>57150</xdr:rowOff>
    </xdr:from>
    <xdr:ext cx="28575" cy="238125"/>
    <xdr:grpSp>
      <xdr:nvGrpSpPr>
        <xdr:cNvPr id="208" name="Shape 2"/>
        <xdr:cNvGrpSpPr/>
      </xdr:nvGrpSpPr>
      <xdr:grpSpPr>
        <a:xfrm>
          <a:off x="4029075" y="11068050"/>
          <a:ext cx="28575" cy="238125"/>
          <a:chOff x="5331713" y="3660938"/>
          <a:chExt cx="28575" cy="238125"/>
        </a:xfrm>
      </xdr:grpSpPr>
      <xdr:grpSp>
        <xdr:nvGrpSpPr>
          <xdr:cNvPr id="209" name="Shape 132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10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11" name="Shape 133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28575</xdr:colOff>
      <xdr:row>59</xdr:row>
      <xdr:rowOff>142875</xdr:rowOff>
    </xdr:from>
    <xdr:ext cx="28575" cy="238125"/>
    <xdr:grpSp>
      <xdr:nvGrpSpPr>
        <xdr:cNvPr id="212" name="Shape 2"/>
        <xdr:cNvGrpSpPr/>
      </xdr:nvGrpSpPr>
      <xdr:grpSpPr>
        <a:xfrm>
          <a:off x="3990975" y="11753850"/>
          <a:ext cx="28575" cy="238125"/>
          <a:chOff x="5331713" y="3660938"/>
          <a:chExt cx="28575" cy="238125"/>
        </a:xfrm>
      </xdr:grpSpPr>
      <xdr:grpSp>
        <xdr:nvGrpSpPr>
          <xdr:cNvPr id="213" name="Shape 134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14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15" name="Shape 135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38100</xdr:colOff>
      <xdr:row>63</xdr:row>
      <xdr:rowOff>57150</xdr:rowOff>
    </xdr:from>
    <xdr:ext cx="28575" cy="238125"/>
    <xdr:grpSp>
      <xdr:nvGrpSpPr>
        <xdr:cNvPr id="216" name="Shape 2"/>
        <xdr:cNvGrpSpPr/>
      </xdr:nvGrpSpPr>
      <xdr:grpSpPr>
        <a:xfrm>
          <a:off x="4000500" y="12468225"/>
          <a:ext cx="28575" cy="238125"/>
          <a:chOff x="5331713" y="3660938"/>
          <a:chExt cx="28575" cy="238125"/>
        </a:xfrm>
      </xdr:grpSpPr>
      <xdr:grpSp>
        <xdr:nvGrpSpPr>
          <xdr:cNvPr id="217" name="Shape 136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18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19" name="Shape 137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38100</xdr:colOff>
      <xdr:row>66</xdr:row>
      <xdr:rowOff>85725</xdr:rowOff>
    </xdr:from>
    <xdr:ext cx="28575" cy="238125"/>
    <xdr:grpSp>
      <xdr:nvGrpSpPr>
        <xdr:cNvPr id="220" name="Shape 2"/>
        <xdr:cNvGrpSpPr/>
      </xdr:nvGrpSpPr>
      <xdr:grpSpPr>
        <a:xfrm>
          <a:off x="4000500" y="13096875"/>
          <a:ext cx="28575" cy="238125"/>
          <a:chOff x="5331713" y="3660938"/>
          <a:chExt cx="28575" cy="238125"/>
        </a:xfrm>
      </xdr:grpSpPr>
      <xdr:grpSp>
        <xdr:nvGrpSpPr>
          <xdr:cNvPr id="221" name="Shape 138"/>
          <xdr:cNvGrpSpPr/>
        </xdr:nvGrpSpPr>
        <xdr:grpSpPr>
          <a:xfrm>
            <a:off x="5331713" y="3660938"/>
            <a:ext cx="28575" cy="238125"/>
            <a:chOff x="5341238" y="3660938"/>
            <a:chExt cx="9525" cy="238125"/>
          </a:xfrm>
        </xdr:grpSpPr>
        <xdr:sp macro="" textlink="">
          <xdr:nvSpPr>
            <xdr:cNvPr id="222" name="Shape 54"/>
            <xdr:cNvSpPr/>
          </xdr:nvSpPr>
          <xdr:spPr>
            <a:xfrm>
              <a:off x="5341238" y="3660938"/>
              <a:ext cx="9525" cy="23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23" name="Shape 139"/>
            <xdr:cNvCxnSpPr/>
          </xdr:nvCxnSpPr>
          <xdr:spPr>
            <a:xfrm flipH="1">
              <a:off x="5341238" y="3660938"/>
              <a:ext cx="9525" cy="238125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28575</xdr:colOff>
      <xdr:row>69</xdr:row>
      <xdr:rowOff>180975</xdr:rowOff>
    </xdr:from>
    <xdr:ext cx="28575" cy="247650"/>
    <xdr:grpSp>
      <xdr:nvGrpSpPr>
        <xdr:cNvPr id="224" name="Shape 2"/>
        <xdr:cNvGrpSpPr/>
      </xdr:nvGrpSpPr>
      <xdr:grpSpPr>
        <a:xfrm>
          <a:off x="3990975" y="13792200"/>
          <a:ext cx="28575" cy="247650"/>
          <a:chOff x="5331713" y="3656175"/>
          <a:chExt cx="28575" cy="247650"/>
        </a:xfrm>
      </xdr:grpSpPr>
      <xdr:grpSp>
        <xdr:nvGrpSpPr>
          <xdr:cNvPr id="225" name="Shape 140"/>
          <xdr:cNvGrpSpPr/>
        </xdr:nvGrpSpPr>
        <xdr:grpSpPr>
          <a:xfrm>
            <a:off x="5331713" y="3656175"/>
            <a:ext cx="28575" cy="247650"/>
            <a:chOff x="5341238" y="3656175"/>
            <a:chExt cx="9525" cy="247650"/>
          </a:xfrm>
        </xdr:grpSpPr>
        <xdr:sp macro="" textlink="">
          <xdr:nvSpPr>
            <xdr:cNvPr id="226" name="Shape 54"/>
            <xdr:cNvSpPr/>
          </xdr:nvSpPr>
          <xdr:spPr>
            <a:xfrm>
              <a:off x="5341238" y="3656175"/>
              <a:ext cx="9525" cy="2476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27" name="Shape 141"/>
            <xdr:cNvCxnSpPr/>
          </xdr:nvCxnSpPr>
          <xdr:spPr>
            <a:xfrm flipH="1">
              <a:off x="5341238" y="3656175"/>
              <a:ext cx="9525" cy="24765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9525</xdr:colOff>
      <xdr:row>73</xdr:row>
      <xdr:rowOff>38100</xdr:rowOff>
    </xdr:from>
    <xdr:ext cx="57150" cy="219075"/>
    <xdr:grpSp>
      <xdr:nvGrpSpPr>
        <xdr:cNvPr id="228" name="Shape 2"/>
        <xdr:cNvGrpSpPr/>
      </xdr:nvGrpSpPr>
      <xdr:grpSpPr>
        <a:xfrm>
          <a:off x="3971925" y="14449425"/>
          <a:ext cx="57150" cy="219075"/>
          <a:chOff x="5317425" y="3670463"/>
          <a:chExt cx="57150" cy="219075"/>
        </a:xfrm>
      </xdr:grpSpPr>
      <xdr:grpSp>
        <xdr:nvGrpSpPr>
          <xdr:cNvPr id="229" name="Shape 142"/>
          <xdr:cNvGrpSpPr/>
        </xdr:nvGrpSpPr>
        <xdr:grpSpPr>
          <a:xfrm>
            <a:off x="5317425" y="3670463"/>
            <a:ext cx="57150" cy="219075"/>
            <a:chOff x="5322188" y="3670463"/>
            <a:chExt cx="47700" cy="219000"/>
          </a:xfrm>
        </xdr:grpSpPr>
        <xdr:sp macro="" textlink="">
          <xdr:nvSpPr>
            <xdr:cNvPr id="230" name="Shape 54"/>
            <xdr:cNvSpPr/>
          </xdr:nvSpPr>
          <xdr:spPr>
            <a:xfrm>
              <a:off x="5322188" y="3670463"/>
              <a:ext cx="47700" cy="219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31" name="Shape 143"/>
            <xdr:cNvCxnSpPr>
              <a:endCxn id="20" idx="0"/>
            </xdr:cNvCxnSpPr>
          </xdr:nvCxnSpPr>
          <xdr:spPr>
            <a:xfrm>
              <a:off x="5322188" y="3670463"/>
              <a:ext cx="47700" cy="2190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4</xdr:col>
      <xdr:colOff>104775</xdr:colOff>
      <xdr:row>30</xdr:row>
      <xdr:rowOff>28575</xdr:rowOff>
    </xdr:from>
    <xdr:ext cx="2066925" cy="466725"/>
    <xdr:grpSp>
      <xdr:nvGrpSpPr>
        <xdr:cNvPr id="232" name="Shape 2"/>
        <xdr:cNvGrpSpPr/>
      </xdr:nvGrpSpPr>
      <xdr:grpSpPr>
        <a:xfrm>
          <a:off x="4067175" y="5838825"/>
          <a:ext cx="2066925" cy="466725"/>
          <a:chOff x="4312538" y="3546638"/>
          <a:chExt cx="2066925" cy="466725"/>
        </a:xfrm>
      </xdr:grpSpPr>
      <xdr:grpSp>
        <xdr:nvGrpSpPr>
          <xdr:cNvPr id="233" name="Shape 144"/>
          <xdr:cNvGrpSpPr/>
        </xdr:nvGrpSpPr>
        <xdr:grpSpPr>
          <a:xfrm>
            <a:off x="4312538" y="3546638"/>
            <a:ext cx="2066925" cy="466725"/>
            <a:chOff x="4312463" y="3551400"/>
            <a:chExt cx="2067000" cy="457200"/>
          </a:xfrm>
        </xdr:grpSpPr>
        <xdr:sp macro="" textlink="">
          <xdr:nvSpPr>
            <xdr:cNvPr id="234" name="Shape 54"/>
            <xdr:cNvSpPr/>
          </xdr:nvSpPr>
          <xdr:spPr>
            <a:xfrm>
              <a:off x="4312463" y="3551400"/>
              <a:ext cx="2067000" cy="4572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35" name="Shape 145"/>
            <xdr:cNvCxnSpPr>
              <a:stCxn id="13" idx="2"/>
              <a:endCxn id="16" idx="0"/>
            </xdr:cNvCxnSpPr>
          </xdr:nvCxnSpPr>
          <xdr:spPr>
            <a:xfrm flipH="1">
              <a:off x="4312463" y="3551400"/>
              <a:ext cx="2067000" cy="457200"/>
            </a:xfrm>
            <a:prstGeom prst="bentConnector3">
              <a:avLst>
                <a:gd name="adj1" fmla="val 38131"/>
              </a:avLst>
            </a:prstGeom>
            <a:noFill/>
            <a:ln w="9525" cap="flat" cmpd="sng">
              <a:solidFill>
                <a:schemeClr val="dk2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5</xdr:col>
      <xdr:colOff>923925</xdr:colOff>
      <xdr:row>32</xdr:row>
      <xdr:rowOff>142875</xdr:rowOff>
    </xdr:from>
    <xdr:ext cx="2724150" cy="771525"/>
    <xdr:sp macro="" textlink="">
      <xdr:nvSpPr>
        <xdr:cNvPr id="236" name="Shape 146"/>
        <xdr:cNvSpPr/>
      </xdr:nvSpPr>
      <xdr:spPr>
        <a:xfrm>
          <a:off x="3988688" y="3399000"/>
          <a:ext cx="2714625" cy="762000"/>
        </a:xfrm>
        <a:prstGeom prst="roundRect">
          <a:avLst>
            <a:gd name="adj" fmla="val 16667"/>
          </a:avLst>
        </a:prstGeom>
        <a:solidFill>
          <a:srgbClr val="00B0F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Los datos obtenidos de la encuesta serán los datos de referencia para establecer los pronósticos de ventas en el siguiente año</a:t>
          </a:r>
          <a:endParaRPr sz="1100"/>
        </a:p>
      </xdr:txBody>
    </xdr:sp>
    <xdr:clientData fLocksWithSheet="0"/>
  </xdr:oneCellAnchor>
  <xdr:oneCellAnchor>
    <xdr:from>
      <xdr:col>9</xdr:col>
      <xdr:colOff>180975</xdr:colOff>
      <xdr:row>32</xdr:row>
      <xdr:rowOff>142875</xdr:rowOff>
    </xdr:from>
    <xdr:ext cx="3133725" cy="781050"/>
    <xdr:sp macro="" textlink="">
      <xdr:nvSpPr>
        <xdr:cNvPr id="237" name="Shape 147"/>
        <xdr:cNvSpPr/>
      </xdr:nvSpPr>
      <xdr:spPr>
        <a:xfrm>
          <a:off x="3783900" y="3394238"/>
          <a:ext cx="3124200" cy="771525"/>
        </a:xfrm>
        <a:prstGeom prst="roundRect">
          <a:avLst>
            <a:gd name="adj" fmla="val 16667"/>
          </a:avLst>
        </a:prstGeom>
        <a:solidFill>
          <a:srgbClr val="7B7B7B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Por regresión lineal, ya que , es el modelo optimo para patrones de demanda con tendencia, como se presenta en los datos obtenidos</a:t>
          </a:r>
          <a:endParaRPr sz="1100"/>
        </a:p>
      </xdr:txBody>
    </xdr:sp>
    <xdr:clientData fLocksWithSheet="0"/>
  </xdr:oneCellAnchor>
  <xdr:oneCellAnchor>
    <xdr:from>
      <xdr:col>5</xdr:col>
      <xdr:colOff>400050</xdr:colOff>
      <xdr:row>34</xdr:row>
      <xdr:rowOff>133350</xdr:rowOff>
    </xdr:from>
    <xdr:ext cx="542925" cy="38100"/>
    <xdr:grpSp>
      <xdr:nvGrpSpPr>
        <xdr:cNvPr id="238" name="Shape 2"/>
        <xdr:cNvGrpSpPr/>
      </xdr:nvGrpSpPr>
      <xdr:grpSpPr>
        <a:xfrm>
          <a:off x="5353050" y="6743700"/>
          <a:ext cx="542925" cy="38100"/>
          <a:chOff x="5074538" y="3760950"/>
          <a:chExt cx="542925" cy="38100"/>
        </a:xfrm>
      </xdr:grpSpPr>
      <xdr:grpSp>
        <xdr:nvGrpSpPr>
          <xdr:cNvPr id="239" name="Shape 148"/>
          <xdr:cNvGrpSpPr/>
        </xdr:nvGrpSpPr>
        <xdr:grpSpPr>
          <a:xfrm>
            <a:off x="5074538" y="3760950"/>
            <a:ext cx="542925" cy="38100"/>
            <a:chOff x="5074538" y="3775238"/>
            <a:chExt cx="543000" cy="9600"/>
          </a:xfrm>
        </xdr:grpSpPr>
        <xdr:sp macro="" textlink="">
          <xdr:nvSpPr>
            <xdr:cNvPr id="240" name="Shape 54"/>
            <xdr:cNvSpPr/>
          </xdr:nvSpPr>
          <xdr:spPr>
            <a:xfrm>
              <a:off x="5074538" y="3775238"/>
              <a:ext cx="543000" cy="9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41" name="Shape 149"/>
            <xdr:cNvCxnSpPr>
              <a:stCxn id="16" idx="3"/>
              <a:endCxn id="85" idx="1"/>
            </xdr:cNvCxnSpPr>
          </xdr:nvCxnSpPr>
          <xdr:spPr>
            <a:xfrm>
              <a:off x="5074538" y="3775238"/>
              <a:ext cx="543000" cy="9600"/>
            </a:xfrm>
            <a:prstGeom prst="straightConnector1">
              <a:avLst/>
            </a:prstGeom>
            <a:noFill/>
            <a:ln w="9525" cap="flat" cmpd="sng">
              <a:solidFill>
                <a:srgbClr val="1F3864"/>
              </a:solidFill>
              <a:prstDash val="solid"/>
              <a:miter lim="800000"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mayoreo.com/2-inicio" TargetMode="External"/><Relationship Id="rId1" Type="http://schemas.openxmlformats.org/officeDocument/2006/relationships/hyperlink" Target="https://www.seemko.c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1000"/>
  <sheetViews>
    <sheetView showGridLines="0" workbookViewId="0"/>
  </sheetViews>
  <sheetFormatPr baseColWidth="10" defaultColWidth="11.21875" defaultRowHeight="15" customHeight="1" x14ac:dyDescent="0.2"/>
  <cols>
    <col min="1" max="10" width="11.5546875" customWidth="1"/>
    <col min="11" max="26" width="10.5546875" customWidth="1"/>
  </cols>
  <sheetData>
    <row r="1" spans="1:26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2" t="s"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000"/>
  <sheetViews>
    <sheetView workbookViewId="0"/>
  </sheetViews>
  <sheetFormatPr baseColWidth="10" defaultColWidth="11.21875" defaultRowHeight="15" customHeight="1" x14ac:dyDescent="0.2"/>
  <cols>
    <col min="1" max="1" width="35.5546875" customWidth="1"/>
    <col min="2" max="2" width="10.5546875" customWidth="1"/>
    <col min="3" max="3" width="19.6640625" customWidth="1"/>
    <col min="4" max="4" width="10.5546875" customWidth="1"/>
    <col min="5" max="5" width="15" customWidth="1"/>
    <col min="6" max="26" width="10.5546875" customWidth="1"/>
  </cols>
  <sheetData>
    <row r="1" spans="1:5" ht="15.75" x14ac:dyDescent="0.25">
      <c r="A1" s="179" t="s">
        <v>1</v>
      </c>
      <c r="B1" s="180"/>
      <c r="C1" s="181"/>
      <c r="D1" s="1"/>
      <c r="E1" s="1"/>
    </row>
    <row r="2" spans="1:5" ht="15.75" x14ac:dyDescent="0.25">
      <c r="A2" s="3" t="s">
        <v>2</v>
      </c>
      <c r="B2" s="4" t="s">
        <v>3</v>
      </c>
      <c r="C2" s="4" t="s">
        <v>4</v>
      </c>
      <c r="D2" s="1"/>
      <c r="E2" s="1"/>
    </row>
    <row r="3" spans="1:5" x14ac:dyDescent="0.2">
      <c r="A3" s="5" t="s">
        <v>5</v>
      </c>
      <c r="B3" s="6">
        <v>1</v>
      </c>
      <c r="C3" s="7">
        <f>1000*E4</f>
        <v>575000</v>
      </c>
      <c r="D3" s="1"/>
      <c r="E3" s="8" t="s">
        <v>6</v>
      </c>
    </row>
    <row r="4" spans="1:5" x14ac:dyDescent="0.2">
      <c r="A4" s="9" t="s">
        <v>7</v>
      </c>
      <c r="B4" s="6">
        <v>1</v>
      </c>
      <c r="C4" s="7">
        <f>4000*E4</f>
        <v>2300000</v>
      </c>
      <c r="D4" s="1"/>
      <c r="E4" s="6">
        <v>575</v>
      </c>
    </row>
    <row r="5" spans="1:5" x14ac:dyDescent="0.2">
      <c r="A5" s="9" t="s">
        <v>8</v>
      </c>
      <c r="B5" s="6">
        <v>1</v>
      </c>
      <c r="C5" s="7">
        <f>12500*E4</f>
        <v>7187500</v>
      </c>
      <c r="D5" s="1"/>
      <c r="E5" s="1"/>
    </row>
    <row r="6" spans="1:5" x14ac:dyDescent="0.2">
      <c r="A6" s="9" t="s">
        <v>9</v>
      </c>
      <c r="B6" s="6">
        <v>1</v>
      </c>
      <c r="C6" s="7">
        <f>214*E4</f>
        <v>123050</v>
      </c>
      <c r="D6" s="1"/>
      <c r="E6" s="1"/>
    </row>
    <row r="7" spans="1:5" x14ac:dyDescent="0.2">
      <c r="A7" s="9" t="s">
        <v>10</v>
      </c>
      <c r="B7" s="6">
        <v>1</v>
      </c>
      <c r="C7" s="7">
        <f>5000*E4</f>
        <v>2875000</v>
      </c>
      <c r="D7" s="1"/>
      <c r="E7" s="1"/>
    </row>
    <row r="8" spans="1:5" x14ac:dyDescent="0.2">
      <c r="A8" s="9" t="s">
        <v>11</v>
      </c>
      <c r="B8" s="6">
        <v>1</v>
      </c>
      <c r="C8" s="7">
        <f>8000*E4</f>
        <v>4600000</v>
      </c>
      <c r="D8" s="1"/>
      <c r="E8" s="1"/>
    </row>
    <row r="9" spans="1:5" x14ac:dyDescent="0.2">
      <c r="A9" s="9" t="s">
        <v>12</v>
      </c>
      <c r="B9" s="6">
        <v>1</v>
      </c>
      <c r="C9" s="7">
        <f>2000*E4</f>
        <v>1150000</v>
      </c>
      <c r="D9" s="1"/>
      <c r="E9" s="1"/>
    </row>
    <row r="10" spans="1:5" x14ac:dyDescent="0.2">
      <c r="A10" s="9" t="s">
        <v>13</v>
      </c>
      <c r="B10" s="6">
        <v>25</v>
      </c>
      <c r="C10" s="7">
        <f>25*5000</f>
        <v>125000</v>
      </c>
      <c r="D10" s="1"/>
      <c r="E10" s="1"/>
    </row>
    <row r="11" spans="1:5" x14ac:dyDescent="0.2">
      <c r="A11" s="9" t="s">
        <v>14</v>
      </c>
      <c r="B11" s="6" t="s">
        <v>15</v>
      </c>
      <c r="C11" s="7">
        <v>50000</v>
      </c>
      <c r="D11" s="1"/>
      <c r="E11" s="1"/>
    </row>
    <row r="12" spans="1:5" x14ac:dyDescent="0.2">
      <c r="A12" s="9" t="s">
        <v>16</v>
      </c>
      <c r="B12" s="6">
        <v>2</v>
      </c>
      <c r="C12" s="7">
        <v>100000</v>
      </c>
      <c r="D12" s="1"/>
      <c r="E12" s="1"/>
    </row>
    <row r="13" spans="1:5" x14ac:dyDescent="0.2">
      <c r="A13" s="9" t="s">
        <v>17</v>
      </c>
      <c r="B13" s="10">
        <v>3</v>
      </c>
      <c r="C13" s="11">
        <v>600000</v>
      </c>
      <c r="D13" s="1"/>
      <c r="E13" s="1"/>
    </row>
    <row r="14" spans="1:5" x14ac:dyDescent="0.2">
      <c r="A14" s="9" t="s">
        <v>18</v>
      </c>
      <c r="B14" s="6">
        <v>4</v>
      </c>
      <c r="C14" s="7">
        <v>200000</v>
      </c>
      <c r="D14" s="1"/>
      <c r="E14" s="1"/>
    </row>
    <row r="15" spans="1:5" x14ac:dyDescent="0.2">
      <c r="A15" s="9" t="s">
        <v>19</v>
      </c>
      <c r="B15" s="6">
        <v>4</v>
      </c>
      <c r="C15" s="7">
        <v>100000</v>
      </c>
      <c r="D15" s="1"/>
      <c r="E15" s="1"/>
    </row>
    <row r="16" spans="1:5" x14ac:dyDescent="0.2">
      <c r="A16" s="9" t="s">
        <v>20</v>
      </c>
      <c r="B16" s="6">
        <v>1</v>
      </c>
      <c r="C16" s="7">
        <v>40000</v>
      </c>
      <c r="D16" s="1"/>
      <c r="E16" s="1"/>
    </row>
    <row r="17" spans="1:5" x14ac:dyDescent="0.2">
      <c r="A17" s="9" t="s">
        <v>21</v>
      </c>
      <c r="B17" s="6">
        <v>2</v>
      </c>
      <c r="C17" s="7">
        <v>70000</v>
      </c>
      <c r="D17" s="1"/>
      <c r="E17" s="1"/>
    </row>
    <row r="18" spans="1:5" x14ac:dyDescent="0.2">
      <c r="A18" s="9" t="s">
        <v>22</v>
      </c>
      <c r="B18" s="6">
        <v>8</v>
      </c>
      <c r="C18" s="7">
        <f>7000*8</f>
        <v>56000</v>
      </c>
      <c r="D18" s="1"/>
      <c r="E18" s="1"/>
    </row>
    <row r="19" spans="1:5" x14ac:dyDescent="0.2">
      <c r="A19" s="9" t="s">
        <v>23</v>
      </c>
      <c r="B19" s="10">
        <v>2</v>
      </c>
      <c r="C19" s="12">
        <f>9000000*B19</f>
        <v>18000000</v>
      </c>
      <c r="D19" s="1"/>
      <c r="E19" s="1"/>
    </row>
    <row r="20" spans="1:5" ht="15.75" x14ac:dyDescent="0.25">
      <c r="A20" s="13" t="s">
        <v>24</v>
      </c>
      <c r="B20" s="13">
        <f t="shared" ref="B20:C20" si="0">SUM(B3:B19)</f>
        <v>58</v>
      </c>
      <c r="C20" s="14">
        <f t="shared" si="0"/>
        <v>38151550</v>
      </c>
      <c r="D20" s="1"/>
      <c r="E20" s="1"/>
    </row>
    <row r="21" spans="1:5" ht="15.75" customHeight="1" x14ac:dyDescent="0.25">
      <c r="A21" s="3" t="s">
        <v>25</v>
      </c>
      <c r="B21" s="9"/>
      <c r="C21" s="7"/>
      <c r="D21" s="1"/>
      <c r="E21" s="1"/>
    </row>
    <row r="22" spans="1:5" ht="15.75" customHeight="1" x14ac:dyDescent="0.2">
      <c r="A22" s="9" t="s">
        <v>26</v>
      </c>
      <c r="B22" s="9"/>
      <c r="C22" s="7">
        <v>1000000</v>
      </c>
      <c r="D22" s="1"/>
      <c r="E22" s="1"/>
    </row>
    <row r="23" spans="1:5" ht="15.75" customHeight="1" x14ac:dyDescent="0.2">
      <c r="A23" s="9" t="s">
        <v>27</v>
      </c>
      <c r="B23" s="9"/>
      <c r="C23" s="7">
        <v>255000</v>
      </c>
      <c r="D23" s="1"/>
      <c r="E23" s="1"/>
    </row>
    <row r="24" spans="1:5" ht="15.75" customHeight="1" x14ac:dyDescent="0.2">
      <c r="A24" s="9" t="s">
        <v>28</v>
      </c>
      <c r="B24" s="9"/>
      <c r="C24" s="7">
        <v>855380</v>
      </c>
      <c r="D24" s="1"/>
      <c r="E24" s="1"/>
    </row>
    <row r="25" spans="1:5" ht="15.75" customHeight="1" x14ac:dyDescent="0.2">
      <c r="A25" s="9" t="s">
        <v>29</v>
      </c>
      <c r="B25" s="9"/>
      <c r="C25" s="7">
        <v>300000</v>
      </c>
      <c r="D25" s="1"/>
      <c r="E25" s="1"/>
    </row>
    <row r="26" spans="1:5" ht="15.75" customHeight="1" x14ac:dyDescent="0.25">
      <c r="A26" s="13" t="s">
        <v>24</v>
      </c>
      <c r="B26" s="15"/>
      <c r="C26" s="14">
        <f>SUM(C22:C25)</f>
        <v>2410380</v>
      </c>
      <c r="D26" s="1"/>
      <c r="E26" s="1"/>
    </row>
    <row r="27" spans="1:5" ht="15.75" customHeight="1" x14ac:dyDescent="0.2">
      <c r="A27" s="16" t="s">
        <v>30</v>
      </c>
      <c r="B27" s="16"/>
      <c r="C27" s="17">
        <f>C20+C26</f>
        <v>40561930</v>
      </c>
      <c r="D27" s="1"/>
      <c r="E27" s="1"/>
    </row>
    <row r="28" spans="1:5" ht="15.75" customHeight="1" x14ac:dyDescent="0.2">
      <c r="A28" s="1"/>
      <c r="B28" s="1"/>
      <c r="C28" s="1"/>
      <c r="D28" s="1"/>
      <c r="E28" s="1"/>
    </row>
    <row r="29" spans="1:5" ht="15.75" customHeight="1" x14ac:dyDescent="0.2">
      <c r="A29" s="1"/>
      <c r="B29" s="1"/>
      <c r="C29" s="1"/>
      <c r="D29" s="1"/>
      <c r="E29" s="1"/>
    </row>
    <row r="30" spans="1:5" ht="15.75" customHeight="1" x14ac:dyDescent="0.2"/>
    <row r="31" spans="1:5" ht="15.75" customHeight="1" x14ac:dyDescent="0.2"/>
    <row r="32" spans="1:5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C1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Z1007"/>
  <sheetViews>
    <sheetView workbookViewId="0"/>
  </sheetViews>
  <sheetFormatPr baseColWidth="10" defaultColWidth="11.21875" defaultRowHeight="15" customHeight="1" x14ac:dyDescent="0.2"/>
  <cols>
    <col min="1" max="1" width="20.109375" customWidth="1"/>
    <col min="2" max="2" width="21.77734375" customWidth="1"/>
    <col min="3" max="3" width="22.77734375" customWidth="1"/>
    <col min="4" max="4" width="22.109375" customWidth="1"/>
    <col min="5" max="5" width="21.44140625" customWidth="1"/>
    <col min="6" max="6" width="21.77734375" customWidth="1"/>
    <col min="7" max="7" width="17.21875" customWidth="1"/>
  </cols>
  <sheetData>
    <row r="1" spans="1:26" ht="15" customHeight="1" x14ac:dyDescent="0.25">
      <c r="A1" s="18" t="s">
        <v>31</v>
      </c>
      <c r="B1" s="18" t="s">
        <v>32</v>
      </c>
      <c r="C1" s="18" t="s">
        <v>33</v>
      </c>
      <c r="D1" s="18" t="s">
        <v>34</v>
      </c>
      <c r="E1" s="18" t="s">
        <v>35</v>
      </c>
      <c r="F1" s="18" t="s">
        <v>36</v>
      </c>
      <c r="G1" s="18" t="s">
        <v>37</v>
      </c>
      <c r="H1" s="18" t="s">
        <v>38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9" t="s">
        <v>39</v>
      </c>
      <c r="B2" s="19">
        <v>358468.86</v>
      </c>
      <c r="C2" s="20">
        <f t="shared" ref="C2:C18" si="0">B2*4%</f>
        <v>14338.7544</v>
      </c>
      <c r="D2" s="20">
        <f t="shared" ref="D2:D18" si="1">B2*5.5%</f>
        <v>19715.7873</v>
      </c>
      <c r="E2" s="20">
        <f t="shared" ref="E2:E18" si="2">B2*1%</f>
        <v>3584.6886</v>
      </c>
      <c r="F2" s="20">
        <f t="shared" ref="F2:F18" si="3">C2+D2+E2</f>
        <v>37639.230300000003</v>
      </c>
      <c r="G2" s="21" t="s">
        <v>15</v>
      </c>
      <c r="H2" s="20">
        <f t="shared" ref="H2:H18" si="4">B2-F2</f>
        <v>320829.62969999999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9" t="s">
        <v>40</v>
      </c>
      <c r="B3" s="19">
        <v>358468.86</v>
      </c>
      <c r="C3" s="20">
        <f t="shared" si="0"/>
        <v>14338.7544</v>
      </c>
      <c r="D3" s="20">
        <f t="shared" si="1"/>
        <v>19715.7873</v>
      </c>
      <c r="E3" s="20">
        <f t="shared" si="2"/>
        <v>3584.6886</v>
      </c>
      <c r="F3" s="20">
        <f t="shared" si="3"/>
        <v>37639.230300000003</v>
      </c>
      <c r="G3" s="21" t="s">
        <v>15</v>
      </c>
      <c r="H3" s="20">
        <f t="shared" si="4"/>
        <v>320829.62969999999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9" t="s">
        <v>41</v>
      </c>
      <c r="B4" s="19">
        <v>310000</v>
      </c>
      <c r="C4" s="20">
        <f t="shared" si="0"/>
        <v>12400</v>
      </c>
      <c r="D4" s="20">
        <f t="shared" si="1"/>
        <v>17050</v>
      </c>
      <c r="E4" s="20">
        <f t="shared" si="2"/>
        <v>3100</v>
      </c>
      <c r="F4" s="20">
        <f t="shared" si="3"/>
        <v>32550</v>
      </c>
      <c r="G4" s="21" t="s">
        <v>15</v>
      </c>
      <c r="H4" s="20">
        <f t="shared" si="4"/>
        <v>277450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9" t="s">
        <v>42</v>
      </c>
      <c r="B5" s="19">
        <v>310000</v>
      </c>
      <c r="C5" s="20">
        <f t="shared" si="0"/>
        <v>12400</v>
      </c>
      <c r="D5" s="20">
        <f t="shared" si="1"/>
        <v>17050</v>
      </c>
      <c r="E5" s="20">
        <f t="shared" si="2"/>
        <v>3100</v>
      </c>
      <c r="F5" s="20">
        <f t="shared" si="3"/>
        <v>32550</v>
      </c>
      <c r="G5" s="21" t="s">
        <v>15</v>
      </c>
      <c r="H5" s="20">
        <f t="shared" si="4"/>
        <v>277450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9" t="s">
        <v>43</v>
      </c>
      <c r="B6" s="19">
        <v>316964.69</v>
      </c>
      <c r="C6" s="20">
        <f t="shared" si="0"/>
        <v>12678.587600000001</v>
      </c>
      <c r="D6" s="20">
        <f t="shared" si="1"/>
        <v>17433.057949999999</v>
      </c>
      <c r="E6" s="20">
        <f t="shared" si="2"/>
        <v>3169.6469000000002</v>
      </c>
      <c r="F6" s="20">
        <f t="shared" si="3"/>
        <v>33281.292450000001</v>
      </c>
      <c r="G6" s="21" t="s">
        <v>15</v>
      </c>
      <c r="H6" s="20">
        <f t="shared" si="4"/>
        <v>283683.39754999999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9" t="s">
        <v>44</v>
      </c>
      <c r="B7" s="19">
        <v>320000</v>
      </c>
      <c r="C7" s="20">
        <f t="shared" si="0"/>
        <v>12800</v>
      </c>
      <c r="D7" s="20">
        <f t="shared" si="1"/>
        <v>17600</v>
      </c>
      <c r="E7" s="20">
        <f t="shared" si="2"/>
        <v>3200</v>
      </c>
      <c r="F7" s="20">
        <f t="shared" si="3"/>
        <v>33600</v>
      </c>
      <c r="G7" s="21" t="s">
        <v>15</v>
      </c>
      <c r="H7" s="20">
        <f t="shared" si="4"/>
        <v>286400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9" t="s">
        <v>45</v>
      </c>
      <c r="B8" s="19">
        <v>320000</v>
      </c>
      <c r="C8" s="20">
        <f t="shared" si="0"/>
        <v>12800</v>
      </c>
      <c r="D8" s="20">
        <f t="shared" si="1"/>
        <v>17600</v>
      </c>
      <c r="E8" s="20">
        <f t="shared" si="2"/>
        <v>3200</v>
      </c>
      <c r="F8" s="20">
        <f t="shared" si="3"/>
        <v>33600</v>
      </c>
      <c r="G8" s="21" t="s">
        <v>15</v>
      </c>
      <c r="H8" s="20">
        <f t="shared" si="4"/>
        <v>286400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9" t="s">
        <v>46</v>
      </c>
      <c r="B9" s="19">
        <v>320000</v>
      </c>
      <c r="C9" s="20">
        <f t="shared" si="0"/>
        <v>12800</v>
      </c>
      <c r="D9" s="20">
        <f t="shared" si="1"/>
        <v>17600</v>
      </c>
      <c r="E9" s="20">
        <f t="shared" si="2"/>
        <v>3200</v>
      </c>
      <c r="F9" s="20">
        <f t="shared" si="3"/>
        <v>33600</v>
      </c>
      <c r="G9" s="21" t="s">
        <v>15</v>
      </c>
      <c r="H9" s="20">
        <f t="shared" si="4"/>
        <v>286400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9" t="s">
        <v>47</v>
      </c>
      <c r="B10" s="19">
        <v>320000</v>
      </c>
      <c r="C10" s="20">
        <f t="shared" si="0"/>
        <v>12800</v>
      </c>
      <c r="D10" s="20">
        <f t="shared" si="1"/>
        <v>17600</v>
      </c>
      <c r="E10" s="20">
        <f t="shared" si="2"/>
        <v>3200</v>
      </c>
      <c r="F10" s="20">
        <f t="shared" si="3"/>
        <v>33600</v>
      </c>
      <c r="G10" s="21" t="s">
        <v>15</v>
      </c>
      <c r="H10" s="20">
        <f t="shared" si="4"/>
        <v>286400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9" t="s">
        <v>48</v>
      </c>
      <c r="B11" s="19">
        <v>320000</v>
      </c>
      <c r="C11" s="20">
        <f t="shared" si="0"/>
        <v>12800</v>
      </c>
      <c r="D11" s="20">
        <f t="shared" si="1"/>
        <v>17600</v>
      </c>
      <c r="E11" s="20">
        <f t="shared" si="2"/>
        <v>3200</v>
      </c>
      <c r="F11" s="20">
        <f t="shared" si="3"/>
        <v>33600</v>
      </c>
      <c r="G11" s="21" t="s">
        <v>15</v>
      </c>
      <c r="H11" s="20">
        <f t="shared" si="4"/>
        <v>286400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9" t="s">
        <v>49</v>
      </c>
      <c r="B12" s="19">
        <v>316964.69</v>
      </c>
      <c r="C12" s="20">
        <f t="shared" si="0"/>
        <v>12678.587600000001</v>
      </c>
      <c r="D12" s="20">
        <f t="shared" si="1"/>
        <v>17433.057949999999</v>
      </c>
      <c r="E12" s="20">
        <f t="shared" si="2"/>
        <v>3169.6469000000002</v>
      </c>
      <c r="F12" s="20">
        <f t="shared" si="3"/>
        <v>33281.292450000001</v>
      </c>
      <c r="G12" s="21" t="s">
        <v>15</v>
      </c>
      <c r="H12" s="20">
        <f t="shared" si="4"/>
        <v>283683.39754999999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9" t="s">
        <v>50</v>
      </c>
      <c r="B13" s="19">
        <v>316964.69</v>
      </c>
      <c r="C13" s="20">
        <f t="shared" si="0"/>
        <v>12678.587600000001</v>
      </c>
      <c r="D13" s="20">
        <f t="shared" si="1"/>
        <v>17433.057949999999</v>
      </c>
      <c r="E13" s="20">
        <f t="shared" si="2"/>
        <v>3169.6469000000002</v>
      </c>
      <c r="F13" s="20">
        <f t="shared" si="3"/>
        <v>33281.292450000001</v>
      </c>
      <c r="G13" s="21" t="s">
        <v>15</v>
      </c>
      <c r="H13" s="20">
        <f t="shared" si="4"/>
        <v>283683.39754999999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9" t="s">
        <v>51</v>
      </c>
      <c r="B14" s="19">
        <v>316964.69</v>
      </c>
      <c r="C14" s="20">
        <f t="shared" si="0"/>
        <v>12678.587600000001</v>
      </c>
      <c r="D14" s="20">
        <f t="shared" si="1"/>
        <v>17433.057949999999</v>
      </c>
      <c r="E14" s="20">
        <f t="shared" si="2"/>
        <v>3169.6469000000002</v>
      </c>
      <c r="F14" s="20">
        <f t="shared" si="3"/>
        <v>33281.292450000001</v>
      </c>
      <c r="G14" s="21" t="s">
        <v>15</v>
      </c>
      <c r="H14" s="20">
        <f t="shared" si="4"/>
        <v>283683.39754999999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9" t="s">
        <v>52</v>
      </c>
      <c r="B15" s="19">
        <v>263400</v>
      </c>
      <c r="C15" s="20">
        <f t="shared" si="0"/>
        <v>10536</v>
      </c>
      <c r="D15" s="20">
        <f t="shared" si="1"/>
        <v>14487</v>
      </c>
      <c r="E15" s="20">
        <f t="shared" si="2"/>
        <v>2634</v>
      </c>
      <c r="F15" s="20">
        <f t="shared" si="3"/>
        <v>27657</v>
      </c>
      <c r="G15" s="21" t="s">
        <v>15</v>
      </c>
      <c r="H15" s="20">
        <f t="shared" si="4"/>
        <v>235743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9" t="s">
        <v>53</v>
      </c>
      <c r="B16" s="19">
        <v>263400</v>
      </c>
      <c r="C16" s="20">
        <f t="shared" si="0"/>
        <v>10536</v>
      </c>
      <c r="D16" s="20">
        <f t="shared" si="1"/>
        <v>14487</v>
      </c>
      <c r="E16" s="20">
        <f t="shared" si="2"/>
        <v>2634</v>
      </c>
      <c r="F16" s="20">
        <f t="shared" si="3"/>
        <v>27657</v>
      </c>
      <c r="G16" s="21" t="s">
        <v>15</v>
      </c>
      <c r="H16" s="20">
        <f t="shared" si="4"/>
        <v>235743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9" t="s">
        <v>54</v>
      </c>
      <c r="B17" s="19">
        <v>263400</v>
      </c>
      <c r="C17" s="20">
        <f t="shared" si="0"/>
        <v>10536</v>
      </c>
      <c r="D17" s="20">
        <f t="shared" si="1"/>
        <v>14487</v>
      </c>
      <c r="E17" s="20">
        <f t="shared" si="2"/>
        <v>2634</v>
      </c>
      <c r="F17" s="20">
        <f t="shared" si="3"/>
        <v>27657</v>
      </c>
      <c r="G17" s="21" t="s">
        <v>15</v>
      </c>
      <c r="H17" s="20">
        <f t="shared" si="4"/>
        <v>235743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9" t="s">
        <v>55</v>
      </c>
      <c r="B18" s="19">
        <v>263400</v>
      </c>
      <c r="C18" s="20">
        <f t="shared" si="0"/>
        <v>10536</v>
      </c>
      <c r="D18" s="20">
        <f t="shared" si="1"/>
        <v>14487</v>
      </c>
      <c r="E18" s="20">
        <f t="shared" si="2"/>
        <v>2634</v>
      </c>
      <c r="F18" s="20">
        <f t="shared" si="3"/>
        <v>27657</v>
      </c>
      <c r="G18" s="21" t="s">
        <v>15</v>
      </c>
      <c r="H18" s="20">
        <f t="shared" si="4"/>
        <v>235743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" customHeight="1" x14ac:dyDescent="0.25">
      <c r="A19" s="22" t="s">
        <v>56</v>
      </c>
      <c r="B19" s="23">
        <f>SUM(B2:B18)</f>
        <v>5258396.4800000004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25">
      <c r="A21" s="24" t="s">
        <v>31</v>
      </c>
      <c r="B21" s="24" t="s">
        <v>32</v>
      </c>
      <c r="C21" s="24" t="s">
        <v>57</v>
      </c>
      <c r="D21" s="24" t="s">
        <v>58</v>
      </c>
      <c r="E21" s="24" t="s">
        <v>59</v>
      </c>
      <c r="F21" s="24" t="s">
        <v>60</v>
      </c>
      <c r="G21" s="24" t="s">
        <v>61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9" t="s">
        <v>39</v>
      </c>
      <c r="B22" s="19">
        <v>358468.86</v>
      </c>
      <c r="C22" s="19">
        <f t="shared" ref="C22:C38" si="5">B22*5.25%</f>
        <v>18819.615149999998</v>
      </c>
      <c r="D22" s="19">
        <f t="shared" ref="D22:D38" si="6">B22*9.25%</f>
        <v>33158.369549999996</v>
      </c>
      <c r="E22" s="19">
        <f t="shared" ref="E22:E38" si="7">B22*4.75%</f>
        <v>17027.270850000001</v>
      </c>
      <c r="F22" s="19">
        <f t="shared" ref="F22:F38" si="8">B22*7.25%</f>
        <v>25988.992349999997</v>
      </c>
      <c r="G22" s="19">
        <f t="shared" ref="G22:G38" si="9">F22+E22+D22+C22</f>
        <v>94994.247899999988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9" t="s">
        <v>40</v>
      </c>
      <c r="B23" s="19">
        <v>358468.86</v>
      </c>
      <c r="C23" s="19">
        <f t="shared" si="5"/>
        <v>18819.615149999998</v>
      </c>
      <c r="D23" s="19">
        <f t="shared" si="6"/>
        <v>33158.369549999996</v>
      </c>
      <c r="E23" s="19">
        <f t="shared" si="7"/>
        <v>17027.270850000001</v>
      </c>
      <c r="F23" s="19">
        <f t="shared" si="8"/>
        <v>25988.992349999997</v>
      </c>
      <c r="G23" s="19">
        <f t="shared" si="9"/>
        <v>94994.247899999988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9" t="s">
        <v>41</v>
      </c>
      <c r="B24" s="19">
        <v>310000</v>
      </c>
      <c r="C24" s="19">
        <f t="shared" si="5"/>
        <v>16275</v>
      </c>
      <c r="D24" s="19">
        <f t="shared" si="6"/>
        <v>28675</v>
      </c>
      <c r="E24" s="19">
        <f t="shared" si="7"/>
        <v>14725</v>
      </c>
      <c r="F24" s="19">
        <f t="shared" si="8"/>
        <v>22475</v>
      </c>
      <c r="G24" s="19">
        <f t="shared" si="9"/>
        <v>82150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9" t="s">
        <v>42</v>
      </c>
      <c r="B25" s="19">
        <v>310000</v>
      </c>
      <c r="C25" s="19">
        <f t="shared" si="5"/>
        <v>16275</v>
      </c>
      <c r="D25" s="19">
        <f t="shared" si="6"/>
        <v>28675</v>
      </c>
      <c r="E25" s="19">
        <f t="shared" si="7"/>
        <v>14725</v>
      </c>
      <c r="F25" s="19">
        <f t="shared" si="8"/>
        <v>22475</v>
      </c>
      <c r="G25" s="19">
        <f t="shared" si="9"/>
        <v>82150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9" t="s">
        <v>43</v>
      </c>
      <c r="B26" s="19">
        <v>316964.69</v>
      </c>
      <c r="C26" s="19">
        <f t="shared" si="5"/>
        <v>16640.646225</v>
      </c>
      <c r="D26" s="19">
        <f t="shared" si="6"/>
        <v>29319.233824999999</v>
      </c>
      <c r="E26" s="19">
        <f t="shared" si="7"/>
        <v>15055.822775000001</v>
      </c>
      <c r="F26" s="19">
        <f t="shared" si="8"/>
        <v>22979.940025</v>
      </c>
      <c r="G26" s="19">
        <f t="shared" si="9"/>
        <v>83995.642850000004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9" t="s">
        <v>44</v>
      </c>
      <c r="B27" s="19">
        <v>320000</v>
      </c>
      <c r="C27" s="19">
        <f t="shared" si="5"/>
        <v>16800</v>
      </c>
      <c r="D27" s="19">
        <f t="shared" si="6"/>
        <v>29600</v>
      </c>
      <c r="E27" s="19">
        <f t="shared" si="7"/>
        <v>15200</v>
      </c>
      <c r="F27" s="19">
        <f t="shared" si="8"/>
        <v>23200</v>
      </c>
      <c r="G27" s="19">
        <f t="shared" si="9"/>
        <v>84800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9" t="s">
        <v>45</v>
      </c>
      <c r="B28" s="19">
        <v>320000</v>
      </c>
      <c r="C28" s="19">
        <f t="shared" si="5"/>
        <v>16800</v>
      </c>
      <c r="D28" s="19">
        <f t="shared" si="6"/>
        <v>29600</v>
      </c>
      <c r="E28" s="19">
        <f t="shared" si="7"/>
        <v>15200</v>
      </c>
      <c r="F28" s="19">
        <f t="shared" si="8"/>
        <v>23200</v>
      </c>
      <c r="G28" s="19">
        <f t="shared" si="9"/>
        <v>84800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9" t="s">
        <v>46</v>
      </c>
      <c r="B29" s="19">
        <v>320000</v>
      </c>
      <c r="C29" s="19">
        <f t="shared" si="5"/>
        <v>16800</v>
      </c>
      <c r="D29" s="19">
        <f t="shared" si="6"/>
        <v>29600</v>
      </c>
      <c r="E29" s="19">
        <f t="shared" si="7"/>
        <v>15200</v>
      </c>
      <c r="F29" s="19">
        <f t="shared" si="8"/>
        <v>23200</v>
      </c>
      <c r="G29" s="19">
        <f t="shared" si="9"/>
        <v>84800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9" t="s">
        <v>47</v>
      </c>
      <c r="B30" s="19">
        <v>320000</v>
      </c>
      <c r="C30" s="19">
        <f t="shared" si="5"/>
        <v>16800</v>
      </c>
      <c r="D30" s="19">
        <f t="shared" si="6"/>
        <v>29600</v>
      </c>
      <c r="E30" s="19">
        <f t="shared" si="7"/>
        <v>15200</v>
      </c>
      <c r="F30" s="19">
        <f t="shared" si="8"/>
        <v>23200</v>
      </c>
      <c r="G30" s="19">
        <f t="shared" si="9"/>
        <v>84800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9" t="s">
        <v>48</v>
      </c>
      <c r="B31" s="19">
        <v>320000</v>
      </c>
      <c r="C31" s="19">
        <f t="shared" si="5"/>
        <v>16800</v>
      </c>
      <c r="D31" s="19">
        <f t="shared" si="6"/>
        <v>29600</v>
      </c>
      <c r="E31" s="19">
        <f t="shared" si="7"/>
        <v>15200</v>
      </c>
      <c r="F31" s="19">
        <f t="shared" si="8"/>
        <v>23200</v>
      </c>
      <c r="G31" s="19">
        <f t="shared" si="9"/>
        <v>84800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9" t="s">
        <v>62</v>
      </c>
      <c r="B32" s="19">
        <v>316964.69</v>
      </c>
      <c r="C32" s="19">
        <f t="shared" si="5"/>
        <v>16640.646225</v>
      </c>
      <c r="D32" s="19">
        <f t="shared" si="6"/>
        <v>29319.233824999999</v>
      </c>
      <c r="E32" s="19">
        <f t="shared" si="7"/>
        <v>15055.822775000001</v>
      </c>
      <c r="F32" s="19">
        <f t="shared" si="8"/>
        <v>22979.940025</v>
      </c>
      <c r="G32" s="19">
        <f t="shared" si="9"/>
        <v>83995.642850000004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9" t="s">
        <v>63</v>
      </c>
      <c r="B33" s="19">
        <v>316964.69</v>
      </c>
      <c r="C33" s="19">
        <f t="shared" si="5"/>
        <v>16640.646225</v>
      </c>
      <c r="D33" s="19">
        <f t="shared" si="6"/>
        <v>29319.233824999999</v>
      </c>
      <c r="E33" s="19">
        <f t="shared" si="7"/>
        <v>15055.822775000001</v>
      </c>
      <c r="F33" s="19">
        <f t="shared" si="8"/>
        <v>22979.940025</v>
      </c>
      <c r="G33" s="19">
        <f t="shared" si="9"/>
        <v>83995.642850000004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9" t="s">
        <v>64</v>
      </c>
      <c r="B34" s="19">
        <v>316964.69</v>
      </c>
      <c r="C34" s="19">
        <f t="shared" si="5"/>
        <v>16640.646225</v>
      </c>
      <c r="D34" s="19">
        <f t="shared" si="6"/>
        <v>29319.233824999999</v>
      </c>
      <c r="E34" s="19">
        <f t="shared" si="7"/>
        <v>15055.822775000001</v>
      </c>
      <c r="F34" s="19">
        <f t="shared" si="8"/>
        <v>22979.940025</v>
      </c>
      <c r="G34" s="19">
        <f t="shared" si="9"/>
        <v>83995.642850000004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9" t="s">
        <v>52</v>
      </c>
      <c r="B35" s="19">
        <v>263400</v>
      </c>
      <c r="C35" s="19">
        <f t="shared" si="5"/>
        <v>13828.5</v>
      </c>
      <c r="D35" s="19">
        <f t="shared" si="6"/>
        <v>24364.5</v>
      </c>
      <c r="E35" s="19">
        <f t="shared" si="7"/>
        <v>12511.5</v>
      </c>
      <c r="F35" s="19">
        <f t="shared" si="8"/>
        <v>19096.5</v>
      </c>
      <c r="G35" s="19">
        <f t="shared" si="9"/>
        <v>69801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9" t="s">
        <v>53</v>
      </c>
      <c r="B36" s="19">
        <v>263400</v>
      </c>
      <c r="C36" s="19">
        <f t="shared" si="5"/>
        <v>13828.5</v>
      </c>
      <c r="D36" s="19">
        <f t="shared" si="6"/>
        <v>24364.5</v>
      </c>
      <c r="E36" s="19">
        <f t="shared" si="7"/>
        <v>12511.5</v>
      </c>
      <c r="F36" s="19">
        <f t="shared" si="8"/>
        <v>19096.5</v>
      </c>
      <c r="G36" s="19">
        <f t="shared" si="9"/>
        <v>69801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9" t="s">
        <v>54</v>
      </c>
      <c r="B37" s="19">
        <v>263400</v>
      </c>
      <c r="C37" s="19">
        <f t="shared" si="5"/>
        <v>13828.5</v>
      </c>
      <c r="D37" s="19">
        <f t="shared" si="6"/>
        <v>24364.5</v>
      </c>
      <c r="E37" s="19">
        <f t="shared" si="7"/>
        <v>12511.5</v>
      </c>
      <c r="F37" s="19">
        <f t="shared" si="8"/>
        <v>19096.5</v>
      </c>
      <c r="G37" s="19">
        <f t="shared" si="9"/>
        <v>69801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9" t="s">
        <v>55</v>
      </c>
      <c r="B38" s="19">
        <v>680565</v>
      </c>
      <c r="C38" s="19">
        <f t="shared" si="5"/>
        <v>35729.662499999999</v>
      </c>
      <c r="D38" s="19">
        <f t="shared" si="6"/>
        <v>62952.262499999997</v>
      </c>
      <c r="E38" s="19">
        <f t="shared" si="7"/>
        <v>32326.837500000001</v>
      </c>
      <c r="F38" s="19">
        <f t="shared" si="8"/>
        <v>49340.962499999994</v>
      </c>
      <c r="G38" s="19">
        <f t="shared" si="9"/>
        <v>180349.72500000001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25">
      <c r="A39" s="1"/>
      <c r="B39" s="1"/>
      <c r="C39" s="1"/>
      <c r="D39" s="1"/>
      <c r="E39" s="1"/>
      <c r="F39" s="22" t="s">
        <v>56</v>
      </c>
      <c r="G39" s="23">
        <f>SUM(G22:G38)</f>
        <v>1504023.7922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Z1000"/>
  <sheetViews>
    <sheetView showGridLines="0" topLeftCell="H1" workbookViewId="0">
      <selection activeCell="M3" sqref="M3"/>
    </sheetView>
  </sheetViews>
  <sheetFormatPr baseColWidth="10" defaultColWidth="11.21875" defaultRowHeight="15" customHeight="1" x14ac:dyDescent="0.2"/>
  <cols>
    <col min="1" max="1" width="23.77734375" customWidth="1"/>
    <col min="2" max="2" width="20" customWidth="1"/>
    <col min="3" max="3" width="14.33203125" customWidth="1"/>
    <col min="4" max="5" width="21.44140625" customWidth="1"/>
    <col min="6" max="6" width="17.44140625" customWidth="1"/>
    <col min="7" max="7" width="4.88671875" customWidth="1"/>
    <col min="8" max="26" width="10.5546875" customWidth="1"/>
  </cols>
  <sheetData>
    <row r="1" spans="1:26" ht="15.75" x14ac:dyDescent="0.25">
      <c r="A1" s="182" t="s">
        <v>65</v>
      </c>
      <c r="B1" s="180"/>
      <c r="C1" s="180"/>
      <c r="D1" s="180"/>
      <c r="E1" s="180"/>
      <c r="F1" s="181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ht="15.75" x14ac:dyDescent="0.25">
      <c r="A2" s="26" t="s">
        <v>66</v>
      </c>
      <c r="B2" s="26" t="s">
        <v>67</v>
      </c>
      <c r="C2" s="26" t="s">
        <v>68</v>
      </c>
      <c r="D2" s="26" t="s">
        <v>69</v>
      </c>
      <c r="E2" s="26" t="s">
        <v>67</v>
      </c>
      <c r="F2" s="26" t="s">
        <v>68</v>
      </c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</row>
    <row r="3" spans="1:26" ht="15.75" x14ac:dyDescent="0.25">
      <c r="A3" s="27" t="s">
        <v>70</v>
      </c>
      <c r="B3" s="28">
        <f>790000+625000+1500000</f>
        <v>2915000</v>
      </c>
      <c r="C3" s="28">
        <f>B3*12</f>
        <v>34980000</v>
      </c>
      <c r="D3" s="4" t="s">
        <v>71</v>
      </c>
      <c r="E3" s="28">
        <f>'Costos variables de producción'!B3*$F$26</f>
        <v>18379585.840000004</v>
      </c>
      <c r="F3" s="28">
        <f t="shared" ref="F3:F14" si="0">E3*12</f>
        <v>220555030.08000004</v>
      </c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</row>
    <row r="4" spans="1:26" ht="15.75" x14ac:dyDescent="0.25">
      <c r="A4" s="27" t="s">
        <v>72</v>
      </c>
      <c r="B4" s="28">
        <f>'Planillas '!B19+'Planillas '!G39</f>
        <v>6762420.2722000005</v>
      </c>
      <c r="C4" s="28">
        <v>144975459</v>
      </c>
      <c r="D4" s="4" t="s">
        <v>73</v>
      </c>
      <c r="E4" s="28">
        <f>'Costos variables de producción'!B4*$F$26</f>
        <v>79505965</v>
      </c>
      <c r="F4" s="28">
        <f t="shared" si="0"/>
        <v>954071580</v>
      </c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</row>
    <row r="5" spans="1:26" ht="15.75" x14ac:dyDescent="0.25">
      <c r="A5" s="27" t="s">
        <v>74</v>
      </c>
      <c r="B5" s="29">
        <v>1048500</v>
      </c>
      <c r="C5" s="28">
        <f t="shared" ref="C5:C6" si="1">B5*12</f>
        <v>12582000</v>
      </c>
      <c r="D5" s="4" t="s">
        <v>75</v>
      </c>
      <c r="E5" s="28">
        <f>'Costos variables de producción'!B5*$F$26</f>
        <v>190814316</v>
      </c>
      <c r="F5" s="28">
        <f t="shared" si="0"/>
        <v>2289771792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spans="1:26" ht="31.5" x14ac:dyDescent="0.25">
      <c r="A6" s="27" t="s">
        <v>76</v>
      </c>
      <c r="B6" s="29">
        <v>200000</v>
      </c>
      <c r="C6" s="28">
        <f t="shared" si="1"/>
        <v>2400000</v>
      </c>
      <c r="D6" s="4" t="s">
        <v>77</v>
      </c>
      <c r="E6" s="28">
        <f>'Costos variables de producción'!B6*$F$26</f>
        <v>84221491.200000003</v>
      </c>
      <c r="F6" s="28">
        <f t="shared" si="0"/>
        <v>1010657894.4000001</v>
      </c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spans="1:26" ht="15.75" x14ac:dyDescent="0.25">
      <c r="A7" s="27" t="s">
        <v>78</v>
      </c>
      <c r="B7" s="28">
        <v>0.13</v>
      </c>
      <c r="C7" s="28" t="s">
        <v>15</v>
      </c>
      <c r="D7" s="4" t="s">
        <v>79</v>
      </c>
      <c r="E7" s="28">
        <f>'Costos variables de producción'!B7*$F$26</f>
        <v>80054282</v>
      </c>
      <c r="F7" s="28">
        <f t="shared" si="0"/>
        <v>960651384</v>
      </c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spans="1:26" ht="31.5" x14ac:dyDescent="0.25">
      <c r="A8" s="27" t="s">
        <v>80</v>
      </c>
      <c r="B8" s="29">
        <v>350000</v>
      </c>
      <c r="C8" s="28">
        <f t="shared" ref="C8:C11" si="2">B8*12</f>
        <v>4200000</v>
      </c>
      <c r="D8" s="4" t="s">
        <v>81</v>
      </c>
      <c r="E8" s="28">
        <f>'Costos variables de producción'!B8*('Costos fijos'!F24+'Costos fijos'!F25)</f>
        <v>38092447.259999998</v>
      </c>
      <c r="F8" s="28">
        <f t="shared" si="0"/>
        <v>457109367.12</v>
      </c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26" ht="15.75" x14ac:dyDescent="0.25">
      <c r="A9" s="30" t="s">
        <v>82</v>
      </c>
      <c r="B9" s="31">
        <v>60000</v>
      </c>
      <c r="C9" s="28">
        <f t="shared" si="2"/>
        <v>720000</v>
      </c>
      <c r="D9" s="4" t="s">
        <v>83</v>
      </c>
      <c r="E9" s="28">
        <f>'Costos variables de producción'!B9*'Costos fijos'!F24</f>
        <v>8778758.0999999996</v>
      </c>
      <c r="F9" s="28">
        <f t="shared" si="0"/>
        <v>105345097.19999999</v>
      </c>
      <c r="G9" s="25"/>
      <c r="H9" s="25"/>
      <c r="I9" s="25"/>
      <c r="J9" s="32" t="s">
        <v>84</v>
      </c>
      <c r="K9" s="33" t="s">
        <v>85</v>
      </c>
      <c r="L9" s="34">
        <v>510000</v>
      </c>
      <c r="M9" s="34" t="s">
        <v>86</v>
      </c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26" ht="15.75" x14ac:dyDescent="0.25">
      <c r="A10" s="27" t="s">
        <v>87</v>
      </c>
      <c r="B10" s="28">
        <v>27900</v>
      </c>
      <c r="C10" s="28">
        <f t="shared" si="2"/>
        <v>334800</v>
      </c>
      <c r="D10" s="4" t="s">
        <v>88</v>
      </c>
      <c r="E10" s="28">
        <f>'Costos variables de producción'!E9*'Costos fijos'!F24</f>
        <v>22221919</v>
      </c>
      <c r="F10" s="28">
        <f t="shared" si="0"/>
        <v>266663028</v>
      </c>
      <c r="G10" s="25"/>
      <c r="H10" s="25"/>
      <c r="I10" s="25"/>
      <c r="J10" s="32" t="s">
        <v>89</v>
      </c>
      <c r="K10" s="33" t="s">
        <v>90</v>
      </c>
      <c r="L10" s="34">
        <v>1680000</v>
      </c>
      <c r="M10" s="34" t="s">
        <v>91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26" ht="15.75" x14ac:dyDescent="0.25">
      <c r="A11" s="30" t="s">
        <v>92</v>
      </c>
      <c r="B11" s="31">
        <v>70000</v>
      </c>
      <c r="C11" s="28">
        <f t="shared" si="2"/>
        <v>840000</v>
      </c>
      <c r="D11" s="4" t="s">
        <v>93</v>
      </c>
      <c r="E11" s="35">
        <f>'Costos variables de producción'!B24*'Costos fijos'!F23</f>
        <v>70591033.799999997</v>
      </c>
      <c r="F11" s="28">
        <f t="shared" si="0"/>
        <v>847092405.5999999</v>
      </c>
      <c r="G11" s="25"/>
      <c r="H11" s="25"/>
      <c r="I11" s="25"/>
      <c r="J11" s="32" t="s">
        <v>94</v>
      </c>
      <c r="K11" s="36">
        <v>105</v>
      </c>
      <c r="L11" s="34">
        <v>52500</v>
      </c>
      <c r="M11" s="37">
        <v>157.5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26" ht="15.75" x14ac:dyDescent="0.25">
      <c r="A12" s="30" t="s">
        <v>95</v>
      </c>
      <c r="B12" s="29">
        <v>80000</v>
      </c>
      <c r="C12" s="28">
        <f>B12</f>
        <v>80000</v>
      </c>
      <c r="D12" s="27" t="s">
        <v>96</v>
      </c>
      <c r="E12" s="28">
        <v>250000</v>
      </c>
      <c r="F12" s="28">
        <f t="shared" si="0"/>
        <v>3000000</v>
      </c>
      <c r="G12" s="25"/>
      <c r="H12" s="25"/>
      <c r="I12" s="25"/>
      <c r="J12" s="38" t="s">
        <v>97</v>
      </c>
      <c r="K12" s="36">
        <v>79.308000000000007</v>
      </c>
      <c r="L12" s="34">
        <v>39654</v>
      </c>
      <c r="M12" s="37">
        <v>118.962</v>
      </c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26" ht="15.75" x14ac:dyDescent="0.25">
      <c r="A13" s="27" t="s">
        <v>98</v>
      </c>
      <c r="B13" s="28">
        <v>200000</v>
      </c>
      <c r="C13" s="28">
        <f>B13*12</f>
        <v>2400000</v>
      </c>
      <c r="D13" s="27" t="s">
        <v>99</v>
      </c>
      <c r="E13" s="31">
        <v>650000</v>
      </c>
      <c r="F13" s="28">
        <f t="shared" si="0"/>
        <v>7800000</v>
      </c>
      <c r="G13" s="25"/>
      <c r="H13" s="25"/>
      <c r="I13" s="25"/>
      <c r="J13" s="25" t="s">
        <v>4</v>
      </c>
      <c r="K13" s="39" t="s">
        <v>100</v>
      </c>
      <c r="L13" s="25"/>
      <c r="M13" s="34" t="s">
        <v>101</v>
      </c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26" ht="15.75" x14ac:dyDescent="0.25">
      <c r="A14" s="40"/>
      <c r="B14" s="41"/>
      <c r="C14" s="41"/>
      <c r="D14" s="27" t="s">
        <v>102</v>
      </c>
      <c r="E14" s="28">
        <f>+B4*5%</f>
        <v>338121.01361000002</v>
      </c>
      <c r="F14" s="28">
        <f t="shared" si="0"/>
        <v>4057452.1633200003</v>
      </c>
      <c r="G14" s="25"/>
      <c r="H14" s="25"/>
      <c r="I14" s="25"/>
      <c r="J14" s="25"/>
      <c r="K14" s="39"/>
      <c r="L14" s="25"/>
      <c r="M14" s="34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26" ht="15.75" x14ac:dyDescent="0.25">
      <c r="A15" s="40"/>
      <c r="B15" s="41"/>
      <c r="C15" s="41"/>
      <c r="D15" s="42"/>
      <c r="E15" s="42"/>
      <c r="F15" s="42"/>
      <c r="G15" s="25"/>
      <c r="H15" s="25"/>
      <c r="I15" s="25"/>
      <c r="J15" s="25"/>
      <c r="K15" s="39"/>
      <c r="L15" s="25"/>
      <c r="M15" s="34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26" ht="15.75" x14ac:dyDescent="0.25">
      <c r="A16" s="25"/>
      <c r="B16" s="43"/>
      <c r="C16" s="43"/>
      <c r="D16" s="25"/>
      <c r="E16" s="43"/>
      <c r="F16" s="43"/>
      <c r="G16" s="25"/>
      <c r="H16" s="25"/>
      <c r="I16" s="25"/>
      <c r="J16" s="25"/>
      <c r="K16" s="39"/>
      <c r="L16" s="25"/>
      <c r="M16" s="34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15.75" x14ac:dyDescent="0.25">
      <c r="A17" s="44" t="s">
        <v>103</v>
      </c>
      <c r="B17" s="45">
        <f t="shared" ref="B17:C17" si="3">SUM(B3:B16)</f>
        <v>11713820.4022</v>
      </c>
      <c r="C17" s="45">
        <f t="shared" si="3"/>
        <v>203512259</v>
      </c>
      <c r="D17" s="44" t="s">
        <v>104</v>
      </c>
      <c r="E17" s="45">
        <f t="shared" ref="E17:F17" si="4">SUM(E3:E15)</f>
        <v>593897919.21361005</v>
      </c>
      <c r="F17" s="45">
        <f t="shared" si="4"/>
        <v>7126775030.5633192</v>
      </c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15.75" x14ac:dyDescent="0.25">
      <c r="A18" s="46"/>
      <c r="B18" s="46"/>
      <c r="C18" s="46"/>
      <c r="D18" s="46"/>
      <c r="E18" s="47"/>
      <c r="F18" s="47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15.75" x14ac:dyDescent="0.25">
      <c r="A19" s="46"/>
      <c r="B19" s="46"/>
      <c r="C19" s="46"/>
      <c r="D19" s="46"/>
      <c r="E19" s="46"/>
      <c r="F19" s="46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18.75" customHeight="1" x14ac:dyDescent="0.25">
      <c r="A20" s="46"/>
      <c r="B20" s="46"/>
      <c r="C20" s="46"/>
      <c r="D20" s="46"/>
      <c r="E20" s="46"/>
      <c r="F20" s="46"/>
      <c r="G20" s="25"/>
      <c r="H20" s="48"/>
      <c r="I20" s="48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16.5" customHeight="1" x14ac:dyDescent="0.25">
      <c r="A21" s="46"/>
      <c r="B21" s="49" t="s">
        <v>56</v>
      </c>
      <c r="C21" s="49" t="s">
        <v>105</v>
      </c>
      <c r="D21" s="46"/>
      <c r="E21" s="46"/>
      <c r="F21" s="46"/>
      <c r="G21" s="25"/>
      <c r="H21" s="48"/>
      <c r="I21" s="48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15.75" customHeight="1" x14ac:dyDescent="0.25">
      <c r="A22" s="44" t="s">
        <v>66</v>
      </c>
      <c r="B22" s="50">
        <f>C17</f>
        <v>203512259</v>
      </c>
      <c r="C22" s="37"/>
      <c r="D22" s="46"/>
      <c r="E22" s="44" t="s">
        <v>106</v>
      </c>
      <c r="F22" s="51">
        <v>0.5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6.25" customHeight="1" x14ac:dyDescent="0.25">
      <c r="A23" s="44" t="s">
        <v>107</v>
      </c>
      <c r="B23" s="52">
        <f t="shared" ref="B23:B25" si="5">C23*F23</f>
        <v>251249846.82000002</v>
      </c>
      <c r="C23" s="50">
        <f>'Costos variables de producción'!B25</f>
        <v>287.23</v>
      </c>
      <c r="D23" s="46"/>
      <c r="E23" s="44" t="s">
        <v>108</v>
      </c>
      <c r="F23" s="46">
        <f>ROUNDUP(B22/('Costos variables de producción'!B26-'Costos fijos'!C23),0)</f>
        <v>874734</v>
      </c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30" customHeight="1" x14ac:dyDescent="0.25">
      <c r="A24" s="44" t="s">
        <v>109</v>
      </c>
      <c r="B24" s="52">
        <f t="shared" si="5"/>
        <v>112372504.06</v>
      </c>
      <c r="C24" s="50">
        <f>'Costos variables de producción'!B10</f>
        <v>255.37</v>
      </c>
      <c r="D24" s="46"/>
      <c r="E24" s="44" t="s">
        <v>110</v>
      </c>
      <c r="F24" s="46">
        <f>ROUNDUP(B22/'Costos variables de producción'!B11-'Costos fijos'!C24,0)</f>
        <v>440038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33.75" customHeight="1" x14ac:dyDescent="0.25">
      <c r="A25" s="44" t="s">
        <v>111</v>
      </c>
      <c r="B25" s="52">
        <f t="shared" si="5"/>
        <v>251249856</v>
      </c>
      <c r="C25" s="50">
        <f>'Costos variables de producción'!E10</f>
        <v>286</v>
      </c>
      <c r="D25" s="46"/>
      <c r="E25" s="44" t="s">
        <v>112</v>
      </c>
      <c r="F25" s="46">
        <f>ROUNDUP(B22/('Costos variables de producción'!E11-'Costos fijos'!C25),0)</f>
        <v>878496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15.75" customHeight="1" x14ac:dyDescent="0.25">
      <c r="A26" s="44" t="s">
        <v>113</v>
      </c>
      <c r="B26" s="50">
        <f>SUM(B22:B25)</f>
        <v>818384465.88000011</v>
      </c>
      <c r="C26" s="53">
        <v>1.5089999999999999</v>
      </c>
      <c r="D26" s="46"/>
      <c r="E26" s="1"/>
      <c r="F26" s="34">
        <f>SUM(F23:F25)</f>
        <v>2193268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15.75" customHeight="1" x14ac:dyDescent="0.25">
      <c r="A27" s="48"/>
      <c r="B27" s="54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33.75" customHeight="1" x14ac:dyDescent="0.25">
      <c r="A28" s="48"/>
      <c r="B28" s="55"/>
      <c r="C28" s="25"/>
      <c r="D28" s="25"/>
      <c r="E28" s="1"/>
      <c r="F28" s="1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15.75" customHeight="1" x14ac:dyDescent="0.25">
      <c r="A29" s="48"/>
      <c r="B29" s="56"/>
      <c r="C29" s="57"/>
      <c r="D29" s="58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15.75" customHeight="1" x14ac:dyDescent="0.25">
      <c r="A30" s="25"/>
      <c r="B30" s="25"/>
      <c r="C30" s="25"/>
      <c r="D30" s="25"/>
      <c r="E30" s="48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15.75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15.75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15.75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15.75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15.75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15.75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15.75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15.75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15.75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15.75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15.75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15.75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15.75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15.75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15.75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15.75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15.75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15.75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15.75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15.75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15.75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15.75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15.75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15.75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15.75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15.75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15.75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15.75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15.75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15.75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15.75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15.75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15.75" customHeight="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15.75" customHeight="1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</row>
    <row r="65" spans="1:26" ht="15.75" customHeight="1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</row>
    <row r="66" spans="1:26" ht="15.75" customHeight="1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</row>
    <row r="67" spans="1:26" ht="15.75" customHeight="1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</row>
    <row r="68" spans="1:26" ht="15.75" customHeight="1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</row>
    <row r="69" spans="1:26" ht="15.75" customHeight="1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</row>
    <row r="70" spans="1:26" ht="15.75" customHeight="1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</row>
    <row r="71" spans="1:26" ht="15.75" customHeight="1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</row>
    <row r="72" spans="1:26" ht="15.75" customHeight="1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</row>
    <row r="73" spans="1:26" ht="15.75" customHeight="1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spans="1:26" ht="15.75" customHeight="1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</row>
    <row r="75" spans="1:26" ht="15.75" customHeight="1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</row>
    <row r="76" spans="1:26" ht="15.75" customHeight="1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</row>
    <row r="77" spans="1:26" ht="15.75" customHeight="1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</row>
    <row r="78" spans="1:26" ht="15.75" customHeigh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</row>
    <row r="79" spans="1:26" ht="15.75" customHeigh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</row>
    <row r="80" spans="1:26" ht="15.75" customHeigh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</row>
    <row r="81" spans="1:26" ht="15.75" customHeigh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</row>
    <row r="82" spans="1:26" ht="15.75" customHeigh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</row>
    <row r="83" spans="1:26" ht="15.75" customHeigh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</row>
    <row r="84" spans="1:26" ht="15.75" customHeigh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</row>
    <row r="85" spans="1:26" ht="15.75" customHeigh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</row>
    <row r="86" spans="1:26" ht="15.75" customHeigh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</row>
    <row r="87" spans="1:26" ht="15.75" customHeigh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</row>
    <row r="88" spans="1:26" ht="15.75" customHeigh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</row>
    <row r="89" spans="1:26" ht="15.75" customHeigh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</row>
    <row r="90" spans="1:26" ht="15.75" customHeigh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</row>
    <row r="91" spans="1:26" ht="15.75" customHeigh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</row>
    <row r="92" spans="1:26" ht="15.75" customHeigh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</row>
    <row r="93" spans="1:26" ht="15.75" customHeigh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</row>
    <row r="94" spans="1:26" ht="15.75" customHeigh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</row>
    <row r="95" spans="1:26" ht="15.75" customHeigh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</row>
    <row r="96" spans="1:26" ht="15.75" customHeigh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spans="1:26" ht="15.75" customHeigh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spans="1:26" ht="15.75" customHeigh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spans="1:26" ht="15.75" customHeigh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spans="1:26" ht="15.75" customHeigh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spans="1:26" ht="15.75" customHeigh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spans="1:26" ht="15.75" customHeigh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spans="1:26" ht="15.75" customHeigh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</row>
    <row r="104" spans="1:26" ht="15.75" customHeigh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</row>
    <row r="105" spans="1:26" ht="15.75" customHeigh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</row>
    <row r="106" spans="1:26" ht="15.75" customHeigh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</row>
    <row r="107" spans="1:26" ht="15.75" customHeigh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</row>
    <row r="108" spans="1:26" ht="15.75" customHeigh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</row>
    <row r="109" spans="1:26" ht="15.75" customHeigh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</row>
    <row r="110" spans="1:26" ht="15.75" customHeigh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</row>
    <row r="111" spans="1:26" ht="15.75" customHeigh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</row>
    <row r="112" spans="1:26" ht="15.75" customHeigh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</row>
    <row r="113" spans="1:26" ht="15.75" customHeigh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</row>
    <row r="114" spans="1:26" ht="15.75" customHeigh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</row>
    <row r="115" spans="1:26" ht="15.75" customHeigh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</row>
    <row r="116" spans="1:26" ht="15.75" customHeigh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</row>
    <row r="117" spans="1:26" ht="15.75" customHeigh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</row>
    <row r="118" spans="1:26" ht="15.75" customHeigh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26" ht="15.75" customHeigh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</row>
    <row r="120" spans="1:26" ht="15.75" customHeigh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</row>
    <row r="121" spans="1:26" ht="15.75" customHeigh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</row>
    <row r="122" spans="1:26" ht="15.75" customHeigh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</row>
    <row r="123" spans="1:26" ht="15.75" customHeigh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</row>
    <row r="124" spans="1:26" ht="15.75" customHeigh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</row>
    <row r="125" spans="1:26" ht="15.75" customHeigh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</row>
    <row r="126" spans="1:26" ht="15.75" customHeigh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</row>
    <row r="127" spans="1:26" ht="15.75" customHeigh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</row>
    <row r="128" spans="1:26" ht="15.75" customHeigh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</row>
    <row r="129" spans="1:26" ht="15.75" customHeigh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</row>
    <row r="130" spans="1:26" ht="15.75" customHeigh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</row>
    <row r="131" spans="1:26" ht="15.75" customHeigh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</row>
    <row r="132" spans="1:26" ht="15.75" customHeigh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</row>
    <row r="133" spans="1:26" ht="15.75" customHeigh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</row>
    <row r="134" spans="1:26" ht="15.75" customHeigh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</row>
    <row r="135" spans="1:26" ht="15.75" customHeigh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</row>
    <row r="136" spans="1:26" ht="15.75" customHeigh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</row>
    <row r="137" spans="1:26" ht="15.75" customHeigh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</row>
    <row r="138" spans="1:26" ht="15.75" customHeigh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</row>
    <row r="139" spans="1:26" ht="15.75" customHeigh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</row>
    <row r="140" spans="1:26" ht="15.75" customHeigh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</row>
    <row r="141" spans="1:26" ht="15.75" customHeigh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</row>
    <row r="142" spans="1:26" ht="15.75" customHeigh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</row>
    <row r="143" spans="1:26" ht="15.75" customHeigh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</row>
    <row r="144" spans="1:26" ht="15.75" customHeigh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</row>
    <row r="145" spans="1:26" ht="15.75" customHeigh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</row>
    <row r="146" spans="1:26" ht="15.75" customHeigh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</row>
    <row r="147" spans="1:26" ht="15.75" customHeigh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</row>
    <row r="148" spans="1:26" ht="15.75" customHeigh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</row>
    <row r="149" spans="1:26" ht="15.75" customHeigh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</row>
    <row r="150" spans="1:26" ht="15.75" customHeigh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</row>
    <row r="151" spans="1:26" ht="15.75" customHeigh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</row>
    <row r="152" spans="1:26" ht="15.75" customHeigh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</row>
    <row r="153" spans="1:26" ht="15.75" customHeigh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</row>
    <row r="154" spans="1:26" ht="15.75" customHeigh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</row>
    <row r="155" spans="1:26" ht="15.75" customHeigh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</row>
    <row r="156" spans="1:26" ht="15.75" customHeigh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</row>
    <row r="157" spans="1:26" ht="15.75" customHeigh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</row>
    <row r="158" spans="1:26" ht="15.75" customHeigh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</row>
    <row r="159" spans="1:26" ht="15.75" customHeigh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</row>
    <row r="160" spans="1:26" ht="15.75" customHeigh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</row>
    <row r="161" spans="1:26" ht="15.75" customHeigh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</row>
    <row r="162" spans="1:26" ht="15.75" customHeigh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</row>
    <row r="163" spans="1:26" ht="15.75" customHeigh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</row>
    <row r="164" spans="1:26" ht="15.75" customHeigh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</row>
    <row r="165" spans="1:26" ht="15.75" customHeigh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</row>
    <row r="166" spans="1:26" ht="15.75" customHeigh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</row>
    <row r="167" spans="1:26" ht="15.75" customHeigh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</row>
    <row r="168" spans="1:26" ht="15.75" customHeigh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</row>
    <row r="169" spans="1:26" ht="15.75" customHeigh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</row>
    <row r="170" spans="1:26" ht="15.75" customHeigh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</row>
    <row r="171" spans="1:26" ht="15.75" customHeigh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</row>
    <row r="172" spans="1:26" ht="15.75" customHeigh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</row>
    <row r="173" spans="1:26" ht="15.75" customHeigh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</row>
    <row r="174" spans="1:26" ht="15.75" customHeigh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</row>
    <row r="175" spans="1:26" ht="15.75" customHeight="1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</row>
    <row r="176" spans="1:26" ht="15.75" customHeight="1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</row>
    <row r="177" spans="1:26" ht="15.75" customHeight="1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</row>
    <row r="178" spans="1:26" ht="15.75" customHeight="1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</row>
    <row r="179" spans="1:26" ht="15.75" customHeight="1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</row>
    <row r="180" spans="1:26" ht="15.75" customHeight="1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</row>
    <row r="181" spans="1:26" ht="15.75" customHeight="1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</row>
    <row r="182" spans="1:26" ht="15.75" customHeight="1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</row>
    <row r="183" spans="1:26" ht="15.75" customHeight="1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</row>
    <row r="184" spans="1:26" ht="15.75" customHeight="1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</row>
    <row r="185" spans="1:26" ht="15.75" customHeight="1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</row>
    <row r="186" spans="1:26" ht="15.75" customHeight="1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</row>
    <row r="187" spans="1:26" ht="15.75" customHeight="1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</row>
    <row r="188" spans="1:26" ht="15.75" customHeight="1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</row>
    <row r="189" spans="1:26" ht="15.75" customHeight="1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</row>
    <row r="190" spans="1:26" ht="15.75" customHeight="1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</row>
    <row r="191" spans="1:26" ht="15.75" customHeight="1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</row>
    <row r="192" spans="1:26" ht="15.75" customHeight="1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</row>
    <row r="193" spans="1:26" ht="15.75" customHeight="1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</row>
    <row r="194" spans="1:26" ht="15.75" customHeight="1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</row>
    <row r="195" spans="1:26" ht="15.75" customHeight="1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</row>
    <row r="196" spans="1:26" ht="15.75" customHeight="1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</row>
    <row r="197" spans="1:26" ht="15.75" customHeight="1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</row>
    <row r="198" spans="1:26" ht="15.75" customHeight="1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</row>
    <row r="199" spans="1:26" ht="15.75" customHeight="1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</row>
    <row r="200" spans="1:26" ht="15.75" customHeight="1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</row>
    <row r="201" spans="1:26" ht="15.75" customHeight="1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</row>
    <row r="202" spans="1:26" ht="15.75" customHeight="1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</row>
    <row r="203" spans="1:26" ht="15.75" customHeight="1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</row>
    <row r="204" spans="1:26" ht="15.75" customHeight="1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</row>
    <row r="205" spans="1:26" ht="15.75" customHeight="1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</row>
    <row r="206" spans="1:26" ht="15.75" customHeight="1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</row>
    <row r="207" spans="1:26" ht="15.75" customHeight="1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</row>
    <row r="208" spans="1:26" ht="15.75" customHeight="1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</row>
    <row r="209" spans="1:26" ht="15.75" customHeight="1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</row>
    <row r="210" spans="1:26" ht="15.75" customHeight="1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</row>
    <row r="211" spans="1:26" ht="15.75" customHeight="1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</row>
    <row r="212" spans="1:26" ht="15.75" customHeight="1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</row>
    <row r="213" spans="1:26" ht="15.75" customHeight="1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</row>
    <row r="214" spans="1:26" ht="15.75" customHeight="1" x14ac:dyDescent="0.25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</row>
    <row r="215" spans="1:26" ht="15.75" customHeight="1" x14ac:dyDescent="0.2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</row>
    <row r="216" spans="1:26" ht="15.75" customHeight="1" x14ac:dyDescent="0.25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</row>
    <row r="217" spans="1:26" ht="15.75" customHeight="1" x14ac:dyDescent="0.25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</row>
    <row r="218" spans="1:26" ht="15.75" customHeight="1" x14ac:dyDescent="0.25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</row>
    <row r="219" spans="1:26" ht="15.75" customHeight="1" x14ac:dyDescent="0.25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</row>
    <row r="220" spans="1:26" ht="15.75" customHeight="1" x14ac:dyDescent="0.25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</row>
    <row r="221" spans="1:26" ht="15.75" customHeight="1" x14ac:dyDescent="0.25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</row>
    <row r="222" spans="1:26" ht="15.75" customHeight="1" x14ac:dyDescent="0.25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</row>
    <row r="223" spans="1:26" ht="15.75" customHeight="1" x14ac:dyDescent="0.25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</row>
    <row r="224" spans="1:26" ht="15.75" customHeight="1" x14ac:dyDescent="0.25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</row>
    <row r="225" spans="1:26" ht="15.75" customHeight="1" x14ac:dyDescent="0.2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</row>
    <row r="226" spans="1:26" ht="15.75" customHeight="1" x14ac:dyDescent="0.25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</row>
    <row r="227" spans="1:26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000"/>
  <sheetViews>
    <sheetView workbookViewId="0">
      <selection activeCell="C7" sqref="C7"/>
    </sheetView>
  </sheetViews>
  <sheetFormatPr baseColWidth="10" defaultColWidth="11.21875" defaultRowHeight="15" customHeight="1" x14ac:dyDescent="0.2"/>
  <cols>
    <col min="5" max="5" width="32.33203125" customWidth="1"/>
    <col min="6" max="8" width="18.33203125" customWidth="1"/>
  </cols>
  <sheetData>
    <row r="1" spans="1:26" ht="15" customHeight="1" x14ac:dyDescent="0.25">
      <c r="A1" s="179" t="s">
        <v>114</v>
      </c>
      <c r="B1" s="181"/>
      <c r="C1" s="59"/>
      <c r="D1" s="1"/>
      <c r="E1" s="183" t="s">
        <v>115</v>
      </c>
      <c r="F1" s="180"/>
      <c r="G1" s="180"/>
      <c r="H1" s="184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 x14ac:dyDescent="0.25">
      <c r="A2" s="9">
        <v>2016</v>
      </c>
      <c r="B2" s="60">
        <v>0.6</v>
      </c>
      <c r="C2" s="9"/>
      <c r="D2" s="1"/>
      <c r="E2" s="61"/>
      <c r="F2" s="62" t="s">
        <v>116</v>
      </c>
      <c r="G2" s="62" t="s">
        <v>117</v>
      </c>
      <c r="H2" s="62" t="s">
        <v>118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customHeight="1" x14ac:dyDescent="0.25">
      <c r="A3" s="9">
        <v>2017</v>
      </c>
      <c r="B3" s="60">
        <v>2.57</v>
      </c>
      <c r="C3" s="9"/>
      <c r="D3" s="1"/>
      <c r="E3" s="63" t="s">
        <v>119</v>
      </c>
      <c r="F3" s="64"/>
      <c r="G3" s="65"/>
      <c r="H3" s="65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9">
        <v>2018</v>
      </c>
      <c r="B4" s="60">
        <v>1.6</v>
      </c>
      <c r="C4" s="9"/>
      <c r="D4" s="1"/>
      <c r="E4" s="9" t="s">
        <v>120</v>
      </c>
      <c r="F4" s="65">
        <v>300000</v>
      </c>
      <c r="G4" s="65"/>
      <c r="H4" s="6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9">
        <v>2019</v>
      </c>
      <c r="B5" s="60">
        <v>1.6</v>
      </c>
      <c r="C5" s="9"/>
      <c r="D5" s="1"/>
      <c r="E5" s="9" t="s">
        <v>121</v>
      </c>
      <c r="F5" s="65">
        <v>255000</v>
      </c>
      <c r="G5" s="65"/>
      <c r="H5" s="6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9">
        <v>2020</v>
      </c>
      <c r="B6" s="66">
        <f>AVERAGE(B2:B5)+0.25</f>
        <v>1.8424999999999998</v>
      </c>
      <c r="C6" s="67"/>
      <c r="D6" s="1"/>
      <c r="E6" s="9" t="s">
        <v>26</v>
      </c>
      <c r="F6" s="65">
        <v>1000000</v>
      </c>
      <c r="G6" s="65"/>
      <c r="H6" s="65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 x14ac:dyDescent="0.25">
      <c r="A7" s="68">
        <v>2021</v>
      </c>
      <c r="B7" s="66">
        <f t="shared" ref="B7:B8" si="0">AVERAGE(B3:B6)+0.3</f>
        <v>2.2031249999999996</v>
      </c>
      <c r="C7" s="69">
        <v>1</v>
      </c>
      <c r="D7" s="1"/>
      <c r="E7" s="9" t="s">
        <v>28</v>
      </c>
      <c r="F7" s="65">
        <v>855380</v>
      </c>
      <c r="G7" s="65"/>
      <c r="H7" s="65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 customHeight="1" x14ac:dyDescent="0.25">
      <c r="A8" s="70">
        <v>2022</v>
      </c>
      <c r="B8" s="66">
        <f t="shared" si="0"/>
        <v>2.1114062499999999</v>
      </c>
      <c r="C8" s="69">
        <v>2.1100000000000001E-2</v>
      </c>
      <c r="D8" s="1"/>
      <c r="E8" s="9" t="s">
        <v>122</v>
      </c>
      <c r="F8" s="65">
        <f>'Costos fijos'!C3</f>
        <v>34980000</v>
      </c>
      <c r="G8" s="65">
        <f t="shared" ref="G8:G21" si="1">F8*(1+$C$7)</f>
        <v>69960000</v>
      </c>
      <c r="H8" s="65">
        <f t="shared" ref="H8:H21" si="2">G8*(1+$C$8)</f>
        <v>71436156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25">
      <c r="A9" s="71"/>
      <c r="B9" s="1"/>
      <c r="C9" s="1"/>
      <c r="D9" s="1"/>
      <c r="E9" s="9" t="s">
        <v>87</v>
      </c>
      <c r="F9" s="65">
        <f>'Costos fijos'!C10</f>
        <v>334800</v>
      </c>
      <c r="G9" s="65">
        <f t="shared" si="1"/>
        <v>669600</v>
      </c>
      <c r="H9" s="65">
        <f t="shared" si="2"/>
        <v>683728.55999999994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customHeight="1" x14ac:dyDescent="0.2">
      <c r="A10" s="1"/>
      <c r="B10" s="1"/>
      <c r="C10" s="1"/>
      <c r="D10" s="1"/>
      <c r="E10" s="9" t="s">
        <v>123</v>
      </c>
      <c r="F10" s="65">
        <f>'Costos fijos'!F13</f>
        <v>7800000</v>
      </c>
      <c r="G10" s="65">
        <f t="shared" si="1"/>
        <v>15600000</v>
      </c>
      <c r="H10" s="65">
        <f t="shared" si="2"/>
        <v>15929159.999999998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 x14ac:dyDescent="0.2">
      <c r="A11" s="1"/>
      <c r="B11" s="1"/>
      <c r="C11" s="1"/>
      <c r="D11" s="1"/>
      <c r="E11" s="9" t="s">
        <v>124</v>
      </c>
      <c r="F11" s="65">
        <f>'Costos fijos'!C13</f>
        <v>2400000</v>
      </c>
      <c r="G11" s="65">
        <f t="shared" si="1"/>
        <v>4800000</v>
      </c>
      <c r="H11" s="65">
        <f t="shared" si="2"/>
        <v>4901279.9999999991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1"/>
      <c r="C12" s="1"/>
      <c r="D12" s="1"/>
      <c r="E12" s="9" t="s">
        <v>125</v>
      </c>
      <c r="F12" s="65">
        <f>'Costos fijos'!C8</f>
        <v>4200000</v>
      </c>
      <c r="G12" s="65">
        <f t="shared" si="1"/>
        <v>8400000</v>
      </c>
      <c r="H12" s="65">
        <f t="shared" si="2"/>
        <v>8577240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1"/>
      <c r="C13" s="1"/>
      <c r="D13" s="1"/>
      <c r="E13" s="9" t="s">
        <v>102</v>
      </c>
      <c r="F13" s="65">
        <f>'Costos fijos'!F14</f>
        <v>4057452.1633200003</v>
      </c>
      <c r="G13" s="65">
        <f t="shared" si="1"/>
        <v>8114904.3266400006</v>
      </c>
      <c r="H13" s="65">
        <f t="shared" si="2"/>
        <v>8286128.807932104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1"/>
      <c r="C14" s="1"/>
      <c r="D14" s="1"/>
      <c r="E14" s="9" t="s">
        <v>126</v>
      </c>
      <c r="F14" s="65">
        <f>'Planillas '!B19</f>
        <v>5258396.4800000004</v>
      </c>
      <c r="G14" s="65">
        <f t="shared" si="1"/>
        <v>10516792.960000001</v>
      </c>
      <c r="H14" s="65">
        <f t="shared" si="2"/>
        <v>10738697.291455999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"/>
      <c r="C15" s="1"/>
      <c r="D15" s="1"/>
      <c r="E15" s="9" t="s">
        <v>127</v>
      </c>
      <c r="F15" s="65">
        <f>'Planillas '!G39</f>
        <v>1504023.7922</v>
      </c>
      <c r="G15" s="65">
        <f t="shared" si="1"/>
        <v>3008047.5844000001</v>
      </c>
      <c r="H15" s="65">
        <f t="shared" si="2"/>
        <v>3071517.3884308399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 x14ac:dyDescent="0.2">
      <c r="A16" s="1"/>
      <c r="B16" s="1"/>
      <c r="C16" s="1"/>
      <c r="D16" s="1"/>
      <c r="E16" s="9" t="s">
        <v>128</v>
      </c>
      <c r="F16" s="65">
        <f>'Costos fijos'!C9</f>
        <v>720000</v>
      </c>
      <c r="G16" s="65">
        <f t="shared" si="1"/>
        <v>1440000</v>
      </c>
      <c r="H16" s="65">
        <f t="shared" si="2"/>
        <v>1470383.9999999998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1"/>
      <c r="C17" s="1"/>
      <c r="D17" s="1"/>
      <c r="E17" s="9" t="s">
        <v>129</v>
      </c>
      <c r="F17" s="65">
        <f>'Costos fijos'!C11</f>
        <v>840000</v>
      </c>
      <c r="G17" s="65">
        <f t="shared" si="1"/>
        <v>1680000</v>
      </c>
      <c r="H17" s="65">
        <f t="shared" si="2"/>
        <v>1715447.9999999998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">
      <c r="A18" s="1"/>
      <c r="B18" s="1"/>
      <c r="C18" s="1"/>
      <c r="D18" s="1"/>
      <c r="E18" s="9" t="s">
        <v>74</v>
      </c>
      <c r="F18" s="65">
        <f>'Costos fijos'!C5</f>
        <v>12582000</v>
      </c>
      <c r="G18" s="65">
        <f t="shared" si="1"/>
        <v>25164000</v>
      </c>
      <c r="H18" s="65">
        <f t="shared" si="2"/>
        <v>25694960.399999999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1"/>
      <c r="C19" s="1"/>
      <c r="D19" s="1"/>
      <c r="E19" s="9" t="s">
        <v>130</v>
      </c>
      <c r="F19" s="65">
        <f>'Costos fijos'!C12</f>
        <v>80000</v>
      </c>
      <c r="G19" s="65">
        <f t="shared" si="1"/>
        <v>160000</v>
      </c>
      <c r="H19" s="65">
        <f t="shared" si="2"/>
        <v>163375.99999999997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1"/>
      <c r="C20" s="1"/>
      <c r="D20" s="1"/>
      <c r="E20" s="9" t="s">
        <v>131</v>
      </c>
      <c r="F20" s="65">
        <f>'Costos fijos'!F12</f>
        <v>3000000</v>
      </c>
      <c r="G20" s="65">
        <f t="shared" si="1"/>
        <v>6000000</v>
      </c>
      <c r="H20" s="65">
        <f t="shared" si="2"/>
        <v>6126599.9999999991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">
      <c r="A21" s="1"/>
      <c r="B21" s="1"/>
      <c r="C21" s="1"/>
      <c r="D21" s="1"/>
      <c r="E21" s="9" t="s">
        <v>132</v>
      </c>
      <c r="F21" s="65">
        <f>'Costos fijos'!C6</f>
        <v>2400000</v>
      </c>
      <c r="G21" s="65">
        <f t="shared" si="1"/>
        <v>4800000</v>
      </c>
      <c r="H21" s="65">
        <f t="shared" si="2"/>
        <v>4901279.9999999991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3" t="s">
        <v>2</v>
      </c>
      <c r="F22" s="65"/>
      <c r="G22" s="65"/>
      <c r="H22" s="65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">
      <c r="A23" s="1"/>
      <c r="B23" s="1"/>
      <c r="C23" s="1"/>
      <c r="D23" s="1"/>
      <c r="E23" s="9" t="s">
        <v>5</v>
      </c>
      <c r="F23" s="65">
        <v>575000</v>
      </c>
      <c r="G23" s="65"/>
      <c r="H23" s="65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">
      <c r="A24" s="1"/>
      <c r="B24" s="1"/>
      <c r="C24" s="1"/>
      <c r="D24" s="1"/>
      <c r="E24" s="9" t="s">
        <v>7</v>
      </c>
      <c r="F24" s="65">
        <v>2300000</v>
      </c>
      <c r="G24" s="65"/>
      <c r="H24" s="65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">
      <c r="A25" s="1"/>
      <c r="B25" s="1"/>
      <c r="C25" s="1"/>
      <c r="D25" s="1"/>
      <c r="E25" s="9" t="s">
        <v>8</v>
      </c>
      <c r="F25" s="65">
        <v>7187500</v>
      </c>
      <c r="G25" s="65"/>
      <c r="H25" s="65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">
      <c r="A26" s="1"/>
      <c r="B26" s="1"/>
      <c r="C26" s="1"/>
      <c r="D26" s="1"/>
      <c r="E26" s="9" t="s">
        <v>9</v>
      </c>
      <c r="F26" s="65">
        <v>123050</v>
      </c>
      <c r="G26" s="65"/>
      <c r="H26" s="65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">
      <c r="A27" s="1"/>
      <c r="B27" s="1"/>
      <c r="C27" s="1"/>
      <c r="D27" s="1"/>
      <c r="E27" s="9" t="s">
        <v>10</v>
      </c>
      <c r="F27" s="65">
        <v>2875000</v>
      </c>
      <c r="G27" s="65"/>
      <c r="H27" s="65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">
      <c r="A28" s="1"/>
      <c r="B28" s="1"/>
      <c r="C28" s="1"/>
      <c r="D28" s="1"/>
      <c r="E28" s="9" t="s">
        <v>11</v>
      </c>
      <c r="F28" s="65">
        <v>4600000</v>
      </c>
      <c r="G28" s="65"/>
      <c r="H28" s="65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">
      <c r="A29" s="1"/>
      <c r="B29" s="1"/>
      <c r="C29" s="1"/>
      <c r="D29" s="1"/>
      <c r="E29" s="9" t="s">
        <v>12</v>
      </c>
      <c r="F29" s="65">
        <v>1150000</v>
      </c>
      <c r="G29" s="65"/>
      <c r="H29" s="65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">
      <c r="A30" s="1"/>
      <c r="B30" s="1"/>
      <c r="C30" s="1"/>
      <c r="D30" s="1"/>
      <c r="E30" s="9" t="s">
        <v>13</v>
      </c>
      <c r="F30" s="65">
        <v>125000</v>
      </c>
      <c r="G30" s="65"/>
      <c r="H30" s="65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">
      <c r="A31" s="1"/>
      <c r="B31" s="1"/>
      <c r="C31" s="1"/>
      <c r="D31" s="1"/>
      <c r="E31" s="9" t="s">
        <v>14</v>
      </c>
      <c r="F31" s="65">
        <v>50000</v>
      </c>
      <c r="G31" s="65"/>
      <c r="H31" s="65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">
      <c r="A32" s="1"/>
      <c r="B32" s="1"/>
      <c r="C32" s="1"/>
      <c r="D32" s="1"/>
      <c r="E32" s="9" t="s">
        <v>16</v>
      </c>
      <c r="F32" s="65">
        <v>100000</v>
      </c>
      <c r="G32" s="65"/>
      <c r="H32" s="65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">
      <c r="A33" s="1"/>
      <c r="B33" s="1"/>
      <c r="C33" s="1"/>
      <c r="D33" s="1"/>
      <c r="E33" s="9" t="s">
        <v>17</v>
      </c>
      <c r="F33" s="65">
        <v>700000</v>
      </c>
      <c r="G33" s="65"/>
      <c r="H33" s="6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">
      <c r="A34" s="1"/>
      <c r="B34" s="1"/>
      <c r="C34" s="1"/>
      <c r="D34" s="1"/>
      <c r="E34" s="9" t="s">
        <v>18</v>
      </c>
      <c r="F34" s="65">
        <v>200000</v>
      </c>
      <c r="G34" s="65"/>
      <c r="H34" s="65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">
      <c r="A35" s="1"/>
      <c r="B35" s="1"/>
      <c r="C35" s="1"/>
      <c r="D35" s="1"/>
      <c r="E35" s="9" t="s">
        <v>19</v>
      </c>
      <c r="F35" s="65">
        <v>100000</v>
      </c>
      <c r="G35" s="65"/>
      <c r="H35" s="65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">
      <c r="A36" s="1"/>
      <c r="B36" s="1"/>
      <c r="C36" s="1"/>
      <c r="D36" s="1"/>
      <c r="E36" s="9" t="s">
        <v>20</v>
      </c>
      <c r="F36" s="65">
        <v>40000</v>
      </c>
      <c r="G36" s="65"/>
      <c r="H36" s="65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">
      <c r="A37" s="1"/>
      <c r="B37" s="1"/>
      <c r="C37" s="1"/>
      <c r="D37" s="1"/>
      <c r="E37" s="9" t="s">
        <v>21</v>
      </c>
      <c r="F37" s="65">
        <v>70000</v>
      </c>
      <c r="G37" s="65"/>
      <c r="H37" s="6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">
      <c r="A38" s="1"/>
      <c r="B38" s="1"/>
      <c r="C38" s="1"/>
      <c r="D38" s="1"/>
      <c r="E38" s="9" t="s">
        <v>22</v>
      </c>
      <c r="F38" s="65">
        <v>56000</v>
      </c>
      <c r="G38" s="65"/>
      <c r="H38" s="65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">
      <c r="A39" s="1"/>
      <c r="B39" s="1"/>
      <c r="C39" s="1"/>
      <c r="D39" s="1"/>
      <c r="E39" s="9" t="s">
        <v>23</v>
      </c>
      <c r="F39" s="65">
        <v>10000000</v>
      </c>
      <c r="G39" s="65"/>
      <c r="H39" s="65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72" t="s">
        <v>56</v>
      </c>
      <c r="F40" s="73">
        <f t="shared" ref="F40:H40" si="3">SUM(F3:F39)</f>
        <v>112818602.43551999</v>
      </c>
      <c r="G40" s="73">
        <f t="shared" si="3"/>
        <v>160313344.87103999</v>
      </c>
      <c r="H40" s="73">
        <f t="shared" si="3"/>
        <v>163695956.44781893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">
      <c r="A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B1"/>
    <mergeCell ref="E1:H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1002"/>
  <sheetViews>
    <sheetView showGridLines="0" topLeftCell="B1" workbookViewId="0">
      <selection activeCell="B10" sqref="B10"/>
    </sheetView>
  </sheetViews>
  <sheetFormatPr baseColWidth="10" defaultColWidth="11.21875" defaultRowHeight="15" customHeight="1" x14ac:dyDescent="0.2"/>
  <cols>
    <col min="1" max="1" width="24" customWidth="1"/>
    <col min="2" max="3" width="10.5546875" customWidth="1"/>
    <col min="4" max="4" width="24" customWidth="1"/>
    <col min="5" max="5" width="10.5546875" customWidth="1"/>
    <col min="6" max="6" width="15.88671875" customWidth="1"/>
    <col min="7" max="7" width="24.21875" customWidth="1"/>
    <col min="8" max="26" width="10.5546875" customWidth="1"/>
  </cols>
  <sheetData>
    <row r="1" spans="1:8" ht="15.75" x14ac:dyDescent="0.25">
      <c r="A1" s="187" t="s">
        <v>133</v>
      </c>
      <c r="B1" s="181"/>
      <c r="D1" s="187" t="s">
        <v>134</v>
      </c>
      <c r="E1" s="181"/>
    </row>
    <row r="2" spans="1:8" ht="15.75" x14ac:dyDescent="0.25">
      <c r="A2" s="9"/>
      <c r="B2" s="74" t="s">
        <v>105</v>
      </c>
      <c r="D2" s="9"/>
      <c r="E2" s="74" t="s">
        <v>105</v>
      </c>
    </row>
    <row r="3" spans="1:8" ht="15.75" x14ac:dyDescent="0.25">
      <c r="A3" s="74" t="s">
        <v>71</v>
      </c>
      <c r="B3" s="74">
        <v>8.3800000000000008</v>
      </c>
      <c r="D3" s="74" t="s">
        <v>71</v>
      </c>
      <c r="E3" s="74">
        <v>8.3800000000000008</v>
      </c>
    </row>
    <row r="4" spans="1:8" ht="15.75" x14ac:dyDescent="0.25">
      <c r="A4" s="74" t="s">
        <v>73</v>
      </c>
      <c r="B4" s="74">
        <v>36.25</v>
      </c>
      <c r="D4" s="74" t="s">
        <v>73</v>
      </c>
      <c r="E4" s="74">
        <v>36.25</v>
      </c>
    </row>
    <row r="5" spans="1:8" ht="15.75" x14ac:dyDescent="0.25">
      <c r="A5" s="74" t="s">
        <v>75</v>
      </c>
      <c r="B5" s="74">
        <v>87</v>
      </c>
      <c r="D5" s="74" t="s">
        <v>75</v>
      </c>
      <c r="E5" s="74">
        <v>87</v>
      </c>
    </row>
    <row r="6" spans="1:8" ht="15.75" x14ac:dyDescent="0.25">
      <c r="A6" s="74" t="s">
        <v>77</v>
      </c>
      <c r="B6" s="74">
        <v>38.4</v>
      </c>
      <c r="D6" s="74" t="s">
        <v>77</v>
      </c>
      <c r="E6" s="74">
        <v>38.4</v>
      </c>
      <c r="G6" s="72" t="s">
        <v>135</v>
      </c>
      <c r="H6" s="72" t="s">
        <v>136</v>
      </c>
    </row>
    <row r="7" spans="1:8" ht="15.75" x14ac:dyDescent="0.25">
      <c r="A7" s="74" t="s">
        <v>79</v>
      </c>
      <c r="B7" s="74">
        <v>36.5</v>
      </c>
      <c r="D7" s="74" t="s">
        <v>79</v>
      </c>
      <c r="E7" s="74">
        <v>36.5</v>
      </c>
      <c r="G7" s="74" t="s">
        <v>137</v>
      </c>
      <c r="H7" s="75">
        <v>0.81</v>
      </c>
    </row>
    <row r="8" spans="1:8" ht="15.75" x14ac:dyDescent="0.25">
      <c r="A8" s="74" t="s">
        <v>81</v>
      </c>
      <c r="B8" s="74">
        <v>28.89</v>
      </c>
      <c r="D8" s="74" t="s">
        <v>81</v>
      </c>
      <c r="E8" s="74">
        <v>28.89</v>
      </c>
      <c r="G8" s="76" t="s">
        <v>138</v>
      </c>
      <c r="H8" s="77">
        <v>0.35</v>
      </c>
    </row>
    <row r="9" spans="1:8" ht="15.75" x14ac:dyDescent="0.25">
      <c r="A9" s="74" t="s">
        <v>83</v>
      </c>
      <c r="B9" s="74">
        <v>19.95</v>
      </c>
      <c r="D9" s="74" t="s">
        <v>88</v>
      </c>
      <c r="E9" s="74">
        <v>50.5</v>
      </c>
      <c r="G9" s="76" t="s">
        <v>139</v>
      </c>
      <c r="H9" s="77">
        <v>0.3</v>
      </c>
    </row>
    <row r="10" spans="1:8" ht="15.75" x14ac:dyDescent="0.25">
      <c r="A10" s="74" t="s">
        <v>4</v>
      </c>
      <c r="B10" s="74">
        <v>255.37</v>
      </c>
      <c r="D10" s="74" t="s">
        <v>4</v>
      </c>
      <c r="E10" s="78">
        <v>286</v>
      </c>
      <c r="G10" s="76" t="s">
        <v>140</v>
      </c>
      <c r="H10" s="77">
        <v>0.2</v>
      </c>
    </row>
    <row r="11" spans="1:8" ht="15.75" x14ac:dyDescent="0.25">
      <c r="A11" s="74" t="s">
        <v>137</v>
      </c>
      <c r="B11" s="78">
        <f>B10*(1+H7)</f>
        <v>462.21970000000005</v>
      </c>
      <c r="D11" s="74" t="s">
        <v>137</v>
      </c>
      <c r="E11" s="78">
        <f>E10*(1+H7)</f>
        <v>517.66</v>
      </c>
      <c r="G11" s="76" t="s">
        <v>141</v>
      </c>
      <c r="H11" s="79">
        <v>0.15</v>
      </c>
    </row>
    <row r="12" spans="1:8" ht="15.75" x14ac:dyDescent="0.25">
      <c r="A12" s="76" t="s">
        <v>138</v>
      </c>
      <c r="B12" s="78">
        <f>(B10*6)+(1+H8)</f>
        <v>1533.57</v>
      </c>
      <c r="D12" s="76" t="s">
        <v>138</v>
      </c>
      <c r="E12" s="78">
        <f>E10*6+(1+H8)</f>
        <v>1717.35</v>
      </c>
    </row>
    <row r="13" spans="1:8" ht="15.75" x14ac:dyDescent="0.25">
      <c r="A13" s="76" t="s">
        <v>139</v>
      </c>
      <c r="B13" s="78">
        <f>B10*12+(1+H9)</f>
        <v>3065.7400000000002</v>
      </c>
      <c r="D13" s="76" t="s">
        <v>139</v>
      </c>
      <c r="E13" s="78">
        <f>E10*12+(1+H9)</f>
        <v>3433.3</v>
      </c>
    </row>
    <row r="14" spans="1:8" ht="15.75" x14ac:dyDescent="0.25">
      <c r="A14" s="76" t="s">
        <v>140</v>
      </c>
      <c r="B14" s="78">
        <f>B10*18+(1+H10)</f>
        <v>4597.8599999999997</v>
      </c>
      <c r="D14" s="76" t="s">
        <v>140</v>
      </c>
      <c r="E14" s="78">
        <f>E10*18+(1+H10)</f>
        <v>5149.2</v>
      </c>
    </row>
    <row r="15" spans="1:8" ht="15.75" x14ac:dyDescent="0.25">
      <c r="A15" s="76" t="s">
        <v>141</v>
      </c>
      <c r="B15" s="78">
        <f>B10*50+(1+H11)</f>
        <v>12769.65</v>
      </c>
      <c r="D15" s="76" t="s">
        <v>141</v>
      </c>
      <c r="E15" s="78">
        <f>E10*50+(1+H11)</f>
        <v>14301.15</v>
      </c>
    </row>
    <row r="16" spans="1:8" ht="15" customHeight="1" x14ac:dyDescent="0.2">
      <c r="A16" s="1"/>
      <c r="B16" s="80"/>
    </row>
    <row r="17" spans="1:6" ht="15.75" x14ac:dyDescent="0.25">
      <c r="A17" s="187" t="s">
        <v>142</v>
      </c>
      <c r="B17" s="181"/>
      <c r="D17" s="188"/>
      <c r="E17" s="186"/>
    </row>
    <row r="18" spans="1:6" ht="15.75" x14ac:dyDescent="0.25">
      <c r="A18" s="9"/>
      <c r="B18" s="74" t="s">
        <v>105</v>
      </c>
      <c r="D18" s="81"/>
      <c r="E18" s="81"/>
    </row>
    <row r="19" spans="1:6" ht="15.75" x14ac:dyDescent="0.25">
      <c r="A19" s="74" t="s">
        <v>71</v>
      </c>
      <c r="B19" s="74">
        <v>8.3800000000000008</v>
      </c>
      <c r="D19" s="187" t="s">
        <v>143</v>
      </c>
      <c r="E19" s="181"/>
      <c r="F19" s="82" t="s">
        <v>144</v>
      </c>
    </row>
    <row r="20" spans="1:6" ht="15.75" x14ac:dyDescent="0.25">
      <c r="A20" s="74" t="s">
        <v>73</v>
      </c>
      <c r="B20" s="74">
        <v>36.25</v>
      </c>
      <c r="D20" s="74" t="s">
        <v>137</v>
      </c>
      <c r="E20" s="78">
        <f t="shared" ref="E20:E24" si="0">AVERAGE(B11,E11,B26)</f>
        <v>499.92200000000003</v>
      </c>
      <c r="F20" s="83">
        <f>AVERAGE($B$10,$E$10,$B$25)</f>
        <v>276.2</v>
      </c>
    </row>
    <row r="21" spans="1:6" ht="15.75" x14ac:dyDescent="0.25">
      <c r="A21" s="74" t="s">
        <v>75</v>
      </c>
      <c r="B21" s="74">
        <v>87</v>
      </c>
      <c r="D21" s="76" t="s">
        <v>138</v>
      </c>
      <c r="E21" s="78">
        <f t="shared" si="0"/>
        <v>1658.55</v>
      </c>
      <c r="F21" s="83">
        <f>AVERAGE($B$10,$E$10,$B$25)*6</f>
        <v>1657.1999999999998</v>
      </c>
    </row>
    <row r="22" spans="1:6" ht="15.75" x14ac:dyDescent="0.25">
      <c r="A22" s="74" t="s">
        <v>77</v>
      </c>
      <c r="B22" s="74">
        <v>38.4</v>
      </c>
      <c r="D22" s="76" t="s">
        <v>139</v>
      </c>
      <c r="E22" s="78">
        <f t="shared" si="0"/>
        <v>3315.7000000000007</v>
      </c>
      <c r="F22" s="83">
        <f>AVERAGE($B$10,$E$10,$B$25)*12</f>
        <v>3314.3999999999996</v>
      </c>
    </row>
    <row r="23" spans="1:6" ht="15.75" x14ac:dyDescent="0.25">
      <c r="A23" s="74" t="s">
        <v>79</v>
      </c>
      <c r="B23" s="74">
        <v>36.5</v>
      </c>
      <c r="D23" s="76" t="s">
        <v>140</v>
      </c>
      <c r="E23" s="78">
        <f t="shared" si="0"/>
        <v>4972.8</v>
      </c>
      <c r="F23" s="83">
        <f>AVERAGE($B$10,$E$10,$B$25)*18</f>
        <v>4971.5999999999995</v>
      </c>
    </row>
    <row r="24" spans="1:6" ht="15.75" customHeight="1" x14ac:dyDescent="0.25">
      <c r="A24" s="74" t="s">
        <v>93</v>
      </c>
      <c r="B24" s="74">
        <v>80.7</v>
      </c>
      <c r="D24" s="76" t="s">
        <v>141</v>
      </c>
      <c r="E24" s="78">
        <f t="shared" si="0"/>
        <v>14528.841666666665</v>
      </c>
      <c r="F24" s="83">
        <f>AVERAGE($B$10,$E$10,$B$25)*50</f>
        <v>13810</v>
      </c>
    </row>
    <row r="25" spans="1:6" ht="15.75" customHeight="1" x14ac:dyDescent="0.25">
      <c r="A25" s="74" t="s">
        <v>4</v>
      </c>
      <c r="B25" s="74">
        <v>287.23</v>
      </c>
      <c r="D25" s="81"/>
      <c r="E25" s="81"/>
    </row>
    <row r="26" spans="1:6" ht="15.75" customHeight="1" x14ac:dyDescent="0.25">
      <c r="A26" s="74" t="s">
        <v>137</v>
      </c>
      <c r="B26" s="74">
        <f>B25*(1+H7)</f>
        <v>519.88630000000001</v>
      </c>
      <c r="D26" s="81"/>
      <c r="E26" s="81"/>
    </row>
    <row r="27" spans="1:6" ht="15.75" customHeight="1" x14ac:dyDescent="0.25">
      <c r="A27" s="76" t="s">
        <v>138</v>
      </c>
      <c r="B27" s="78">
        <f>B25*6+(1+H8)</f>
        <v>1724.73</v>
      </c>
      <c r="D27" s="185"/>
      <c r="E27" s="186"/>
    </row>
    <row r="28" spans="1:6" ht="15.75" customHeight="1" x14ac:dyDescent="0.25">
      <c r="A28" s="76" t="s">
        <v>139</v>
      </c>
      <c r="B28" s="78">
        <f>B25*12+(1+H9)</f>
        <v>3448.0600000000004</v>
      </c>
      <c r="D28" s="84"/>
      <c r="E28" s="81"/>
    </row>
    <row r="29" spans="1:6" ht="15.75" customHeight="1" x14ac:dyDescent="0.25">
      <c r="A29" s="76" t="s">
        <v>140</v>
      </c>
      <c r="B29" s="78">
        <f>B25*18+(1+H10)</f>
        <v>5171.34</v>
      </c>
      <c r="D29" s="84"/>
      <c r="E29" s="81"/>
    </row>
    <row r="30" spans="1:6" ht="15.75" customHeight="1" x14ac:dyDescent="0.25">
      <c r="A30" s="76" t="s">
        <v>141</v>
      </c>
      <c r="B30" s="78">
        <f>B25*50*(1+H11)</f>
        <v>16515.724999999999</v>
      </c>
      <c r="D30" s="84"/>
      <c r="E30" s="81"/>
    </row>
    <row r="31" spans="1:6" ht="15.75" customHeight="1" x14ac:dyDescent="0.2">
      <c r="A31" s="1"/>
      <c r="D31" s="85"/>
    </row>
    <row r="32" spans="1:6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</sheetData>
  <mergeCells count="6">
    <mergeCell ref="D27:E27"/>
    <mergeCell ref="A1:B1"/>
    <mergeCell ref="D1:E1"/>
    <mergeCell ref="A17:B17"/>
    <mergeCell ref="D17:E17"/>
    <mergeCell ref="D19:E19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outlinePr summaryBelow="0" summaryRight="0"/>
  </sheetPr>
  <dimension ref="A1:Z1000"/>
  <sheetViews>
    <sheetView showGridLines="0" workbookViewId="0">
      <selection activeCell="C1" sqref="C1"/>
    </sheetView>
  </sheetViews>
  <sheetFormatPr baseColWidth="10" defaultColWidth="11.21875" defaultRowHeight="15" customHeight="1" x14ac:dyDescent="0.2"/>
  <cols>
    <col min="1" max="1" width="17.109375" customWidth="1"/>
    <col min="2" max="2" width="15.5546875" customWidth="1"/>
    <col min="3" max="3" width="15.77734375" customWidth="1"/>
    <col min="4" max="4" width="4.77734375" customWidth="1"/>
    <col min="6" max="6" width="11.77734375" customWidth="1"/>
    <col min="11" max="11" width="4.33203125" customWidth="1"/>
    <col min="12" max="12" width="20.77734375" customWidth="1"/>
    <col min="13" max="13" width="16.5546875" customWidth="1"/>
  </cols>
  <sheetData>
    <row r="1" spans="1:26" ht="15" customHeight="1" x14ac:dyDescent="0.2">
      <c r="A1" s="189" t="s">
        <v>145</v>
      </c>
      <c r="B1" s="181"/>
      <c r="C1" s="86">
        <v>0.05</v>
      </c>
      <c r="D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63" x14ac:dyDescent="0.2">
      <c r="A2" s="88" t="s">
        <v>146</v>
      </c>
      <c r="B2" s="89" t="s">
        <v>147</v>
      </c>
      <c r="C2" s="89" t="s">
        <v>148</v>
      </c>
      <c r="D2" s="87"/>
      <c r="E2" s="90" t="s">
        <v>149</v>
      </c>
      <c r="F2" s="90" t="s">
        <v>150</v>
      </c>
      <c r="G2" s="90" t="s">
        <v>151</v>
      </c>
      <c r="H2" s="90" t="s">
        <v>152</v>
      </c>
      <c r="I2" s="90" t="s">
        <v>153</v>
      </c>
      <c r="J2" s="88" t="s">
        <v>154</v>
      </c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30" x14ac:dyDescent="0.2">
      <c r="A3" s="91" t="s">
        <v>150</v>
      </c>
      <c r="B3" s="92">
        <v>12300</v>
      </c>
      <c r="C3" s="93">
        <f t="shared" ref="C3:C5" si="0">B3*$C$1</f>
        <v>615</v>
      </c>
      <c r="D3" s="87"/>
      <c r="E3" s="94">
        <v>1</v>
      </c>
      <c r="F3" s="95">
        <f>C3+C14+C17</f>
        <v>13465</v>
      </c>
      <c r="G3" s="93">
        <f>C4+C8+C18</f>
        <v>14480</v>
      </c>
      <c r="H3" s="96">
        <f>C5+C9+C19</f>
        <v>9635</v>
      </c>
      <c r="I3" s="93">
        <f>C10+C20</f>
        <v>10070</v>
      </c>
      <c r="J3" s="93">
        <f>C13+C21</f>
        <v>6500</v>
      </c>
      <c r="K3" s="87"/>
      <c r="L3" s="97" t="s">
        <v>155</v>
      </c>
      <c r="M3" s="98">
        <v>1.5E-3</v>
      </c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30" x14ac:dyDescent="0.2">
      <c r="A4" s="99" t="s">
        <v>156</v>
      </c>
      <c r="B4" s="92">
        <v>23400</v>
      </c>
      <c r="C4" s="93">
        <f t="shared" si="0"/>
        <v>1170</v>
      </c>
      <c r="D4" s="87"/>
      <c r="E4" s="94">
        <v>2</v>
      </c>
      <c r="F4" s="96">
        <f t="shared" ref="F4:J4" si="1">F3*(1+$M$3)</f>
        <v>13485.1975</v>
      </c>
      <c r="G4" s="96">
        <f t="shared" si="1"/>
        <v>14501.720000000001</v>
      </c>
      <c r="H4" s="96">
        <f t="shared" si="1"/>
        <v>9649.4525000000012</v>
      </c>
      <c r="I4" s="96">
        <f t="shared" si="1"/>
        <v>10085.105000000001</v>
      </c>
      <c r="J4" s="96">
        <f t="shared" si="1"/>
        <v>6509.75</v>
      </c>
      <c r="K4" s="87"/>
      <c r="L4" s="97" t="s">
        <v>157</v>
      </c>
      <c r="M4" s="98">
        <v>1.5E-3</v>
      </c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30" x14ac:dyDescent="0.2">
      <c r="A5" s="100" t="s">
        <v>152</v>
      </c>
      <c r="B5" s="92">
        <v>17300</v>
      </c>
      <c r="C5" s="96">
        <f t="shared" si="0"/>
        <v>865</v>
      </c>
      <c r="D5" s="87"/>
      <c r="E5" s="94">
        <v>3</v>
      </c>
      <c r="F5" s="96">
        <f t="shared" ref="F5:J5" si="2">F4*(1+$M$3)</f>
        <v>13505.425296250001</v>
      </c>
      <c r="G5" s="96">
        <f t="shared" si="2"/>
        <v>14523.472580000001</v>
      </c>
      <c r="H5" s="96">
        <f t="shared" si="2"/>
        <v>9663.9266787500019</v>
      </c>
      <c r="I5" s="96">
        <f t="shared" si="2"/>
        <v>10100.232657500002</v>
      </c>
      <c r="J5" s="96">
        <f t="shared" si="2"/>
        <v>6519.5146250000007</v>
      </c>
      <c r="L5" s="97" t="s">
        <v>158</v>
      </c>
      <c r="M5" s="98">
        <v>1.5E-3</v>
      </c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15" customHeight="1" x14ac:dyDescent="0.2">
      <c r="A6" s="87"/>
      <c r="B6" s="87"/>
      <c r="C6" s="87"/>
      <c r="D6" s="87"/>
      <c r="E6" s="94">
        <v>4</v>
      </c>
      <c r="F6" s="96">
        <f t="shared" ref="F6:J6" si="3">F5*(1+$M$3)</f>
        <v>13525.683434194378</v>
      </c>
      <c r="G6" s="96">
        <f t="shared" si="3"/>
        <v>14545.257788870002</v>
      </c>
      <c r="H6" s="96">
        <f t="shared" si="3"/>
        <v>9678.4225687681283</v>
      </c>
      <c r="I6" s="96">
        <f t="shared" si="3"/>
        <v>10115.383006486252</v>
      </c>
      <c r="J6" s="96">
        <f t="shared" si="3"/>
        <v>6529.2938969375009</v>
      </c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15" customHeight="1" x14ac:dyDescent="0.2">
      <c r="A7" s="88" t="s">
        <v>159</v>
      </c>
      <c r="B7" s="101"/>
      <c r="C7" s="101"/>
      <c r="D7" s="87"/>
      <c r="E7" s="94">
        <v>5</v>
      </c>
      <c r="F7" s="96">
        <f t="shared" ref="F7:J7" si="4">F6*(1+$M$3)</f>
        <v>13545.97195934567</v>
      </c>
      <c r="G7" s="96">
        <f t="shared" si="4"/>
        <v>14567.075675553308</v>
      </c>
      <c r="H7" s="96">
        <f t="shared" si="4"/>
        <v>9692.9402026212811</v>
      </c>
      <c r="I7" s="96">
        <f t="shared" si="4"/>
        <v>10130.556080995982</v>
      </c>
      <c r="J7" s="96">
        <f t="shared" si="4"/>
        <v>6539.0878377829076</v>
      </c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x14ac:dyDescent="0.2">
      <c r="A8" s="99" t="s">
        <v>156</v>
      </c>
      <c r="B8" s="92">
        <v>154200</v>
      </c>
      <c r="C8" s="93">
        <f t="shared" ref="C8:C10" si="5">B8*$C$1</f>
        <v>7710</v>
      </c>
      <c r="D8" s="87"/>
      <c r="E8" s="94">
        <v>6</v>
      </c>
      <c r="F8" s="96">
        <f t="shared" ref="F8:J8" si="6">F7*(1+$M$3)</f>
        <v>13566.29091728469</v>
      </c>
      <c r="G8" s="96">
        <f t="shared" si="6"/>
        <v>14588.926289066638</v>
      </c>
      <c r="H8" s="96">
        <f t="shared" si="6"/>
        <v>9707.4796129252136</v>
      </c>
      <c r="I8" s="96">
        <f t="shared" si="6"/>
        <v>10145.751915117477</v>
      </c>
      <c r="J8" s="96">
        <f t="shared" si="6"/>
        <v>6548.8964695395825</v>
      </c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30" x14ac:dyDescent="0.2">
      <c r="A9" s="100" t="s">
        <v>152</v>
      </c>
      <c r="B9" s="92">
        <v>125400</v>
      </c>
      <c r="C9" s="93">
        <f t="shared" si="5"/>
        <v>6270</v>
      </c>
      <c r="D9" s="87"/>
      <c r="E9" s="94">
        <v>7</v>
      </c>
      <c r="F9" s="96">
        <f t="shared" ref="F9:J9" si="7">F8*(1+$M$3)</f>
        <v>13586.640353660618</v>
      </c>
      <c r="G9" s="96">
        <f t="shared" si="7"/>
        <v>14610.809678500238</v>
      </c>
      <c r="H9" s="96">
        <f t="shared" si="7"/>
        <v>9722.0408323446027</v>
      </c>
      <c r="I9" s="96">
        <f t="shared" si="7"/>
        <v>10160.970542990153</v>
      </c>
      <c r="J9" s="96">
        <f t="shared" si="7"/>
        <v>6558.719814243892</v>
      </c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30" x14ac:dyDescent="0.2">
      <c r="A10" s="100" t="s">
        <v>153</v>
      </c>
      <c r="B10" s="92">
        <v>137400</v>
      </c>
      <c r="C10" s="93">
        <f t="shared" si="5"/>
        <v>6870</v>
      </c>
      <c r="D10" s="87"/>
      <c r="E10" s="94">
        <v>8</v>
      </c>
      <c r="F10" s="96">
        <f t="shared" ref="F10:J10" si="8">F9*(1+$M$3)</f>
        <v>13607.02031419111</v>
      </c>
      <c r="G10" s="96">
        <f t="shared" si="8"/>
        <v>14632.725893017989</v>
      </c>
      <c r="H10" s="96">
        <f t="shared" si="8"/>
        <v>9736.6238935931196</v>
      </c>
      <c r="I10" s="96">
        <f t="shared" si="8"/>
        <v>10176.21199880464</v>
      </c>
      <c r="J10" s="96">
        <f t="shared" si="8"/>
        <v>6568.5578939652578</v>
      </c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x14ac:dyDescent="0.2">
      <c r="A11" s="87"/>
      <c r="B11" s="87"/>
      <c r="C11" s="87"/>
      <c r="D11" s="87"/>
      <c r="E11" s="94">
        <v>9</v>
      </c>
      <c r="F11" s="96">
        <f t="shared" ref="F11:J11" si="9">F10*(1+$M$3)</f>
        <v>13627.430844662396</v>
      </c>
      <c r="G11" s="96">
        <f t="shared" si="9"/>
        <v>14654.674981857517</v>
      </c>
      <c r="H11" s="96">
        <f t="shared" si="9"/>
        <v>9751.2288294335103</v>
      </c>
      <c r="I11" s="96">
        <f t="shared" si="9"/>
        <v>10191.476316802848</v>
      </c>
      <c r="J11" s="96">
        <f t="shared" si="9"/>
        <v>6578.4107308062057</v>
      </c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15" customHeight="1" x14ac:dyDescent="0.2">
      <c r="A12" s="88" t="s">
        <v>160</v>
      </c>
      <c r="B12" s="101"/>
      <c r="C12" s="101"/>
      <c r="D12" s="87"/>
      <c r="E12" s="94">
        <v>10</v>
      </c>
      <c r="F12" s="96">
        <f t="shared" ref="F12:J12" si="10">F11*(1+$M$3)</f>
        <v>13647.87199092939</v>
      </c>
      <c r="G12" s="96">
        <f t="shared" si="10"/>
        <v>14676.656994330304</v>
      </c>
      <c r="H12" s="96">
        <f t="shared" si="10"/>
        <v>9765.8556726776606</v>
      </c>
      <c r="I12" s="96">
        <f t="shared" si="10"/>
        <v>10206.763531278053</v>
      </c>
      <c r="J12" s="96">
        <f t="shared" si="10"/>
        <v>6588.2783469024153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x14ac:dyDescent="0.2">
      <c r="A13" s="93" t="s">
        <v>154</v>
      </c>
      <c r="B13" s="93">
        <v>50000</v>
      </c>
      <c r="C13" s="93">
        <f t="shared" ref="C13:C14" si="11">B13*$C$1</f>
        <v>2500</v>
      </c>
      <c r="D13" s="87"/>
      <c r="E13" s="94">
        <v>11</v>
      </c>
      <c r="F13" s="96">
        <f t="shared" ref="F13:J13" si="12">F12*(1+$M$3)</f>
        <v>13668.343798915785</v>
      </c>
      <c r="G13" s="96">
        <f t="shared" si="12"/>
        <v>14698.6719798218</v>
      </c>
      <c r="H13" s="96">
        <f t="shared" si="12"/>
        <v>9780.504456186678</v>
      </c>
      <c r="I13" s="96">
        <f t="shared" si="12"/>
        <v>10222.073676574972</v>
      </c>
      <c r="J13" s="96">
        <f t="shared" si="12"/>
        <v>6598.1607644227688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">
      <c r="A14" s="91" t="s">
        <v>150</v>
      </c>
      <c r="B14" s="93">
        <v>17000</v>
      </c>
      <c r="C14" s="93">
        <f t="shared" si="11"/>
        <v>850</v>
      </c>
      <c r="D14" s="87"/>
      <c r="E14" s="94">
        <v>12</v>
      </c>
      <c r="F14" s="96">
        <f t="shared" ref="F14:J14" si="13">F13*(1+$M$3)</f>
        <v>13688.846314614158</v>
      </c>
      <c r="G14" s="96">
        <f t="shared" si="13"/>
        <v>14720.719987791534</v>
      </c>
      <c r="H14" s="96">
        <f t="shared" si="13"/>
        <v>9795.1752128709577</v>
      </c>
      <c r="I14" s="96">
        <f t="shared" si="13"/>
        <v>10237.406787089834</v>
      </c>
      <c r="J14" s="96">
        <f t="shared" si="13"/>
        <v>6608.0580055694036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31.5" x14ac:dyDescent="0.2">
      <c r="A15" s="87"/>
      <c r="B15" s="87"/>
      <c r="C15" s="87"/>
      <c r="D15" s="87"/>
      <c r="E15" s="90" t="s">
        <v>161</v>
      </c>
      <c r="F15" s="102">
        <f t="shared" ref="F15:J15" si="14">SUM(F3:F14)</f>
        <v>162919.72272404819</v>
      </c>
      <c r="G15" s="102">
        <f t="shared" si="14"/>
        <v>175200.71184880935</v>
      </c>
      <c r="H15" s="102">
        <f t="shared" si="14"/>
        <v>116578.65046017116</v>
      </c>
      <c r="I15" s="102">
        <f t="shared" si="14"/>
        <v>121841.9315136402</v>
      </c>
      <c r="J15" s="102">
        <f t="shared" si="14"/>
        <v>78646.728385169932</v>
      </c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36.75" customHeight="1" x14ac:dyDescent="0.2">
      <c r="A16" s="88" t="s">
        <v>162</v>
      </c>
      <c r="B16" s="101"/>
      <c r="C16" s="101"/>
      <c r="D16" s="87"/>
      <c r="E16" s="94">
        <v>1</v>
      </c>
      <c r="F16" s="96">
        <f t="shared" ref="F16:J16" si="15">F14*(1+$M$4)</f>
        <v>13709.37958408608</v>
      </c>
      <c r="G16" s="96">
        <f t="shared" si="15"/>
        <v>14742.801067773222</v>
      </c>
      <c r="H16" s="96">
        <f t="shared" si="15"/>
        <v>9809.8679756902638</v>
      </c>
      <c r="I16" s="96">
        <f t="shared" si="15"/>
        <v>10252.76289727047</v>
      </c>
      <c r="J16" s="96">
        <f t="shared" si="15"/>
        <v>6617.9700925777579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">
      <c r="A17" s="91" t="s">
        <v>150</v>
      </c>
      <c r="B17" s="93"/>
      <c r="C17" s="92">
        <v>12000</v>
      </c>
      <c r="D17" s="87"/>
      <c r="E17" s="94">
        <v>2</v>
      </c>
      <c r="F17" s="96">
        <f t="shared" ref="F17:J17" si="16">F16*(1+$M$4)</f>
        <v>13729.943653462211</v>
      </c>
      <c r="G17" s="96">
        <f t="shared" si="16"/>
        <v>14764.915269374882</v>
      </c>
      <c r="H17" s="96">
        <f t="shared" si="16"/>
        <v>9824.582777653799</v>
      </c>
      <c r="I17" s="96">
        <f t="shared" si="16"/>
        <v>10268.142041616376</v>
      </c>
      <c r="J17" s="96">
        <f t="shared" si="16"/>
        <v>6627.8970477166249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">
      <c r="A18" s="99" t="s">
        <v>156</v>
      </c>
      <c r="B18" s="93"/>
      <c r="C18" s="92">
        <v>5600</v>
      </c>
      <c r="D18" s="87"/>
      <c r="E18" s="94">
        <v>3</v>
      </c>
      <c r="F18" s="96">
        <f t="shared" ref="F18:J18" si="17">F17*(1+$M$4)</f>
        <v>13750.538568942406</v>
      </c>
      <c r="G18" s="96">
        <f t="shared" si="17"/>
        <v>14787.062642278945</v>
      </c>
      <c r="H18" s="96">
        <f t="shared" si="17"/>
        <v>9839.3196518202803</v>
      </c>
      <c r="I18" s="96">
        <f t="shared" si="17"/>
        <v>10283.544254678802</v>
      </c>
      <c r="J18" s="96">
        <f t="shared" si="17"/>
        <v>6637.8388932881999</v>
      </c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30" x14ac:dyDescent="0.2">
      <c r="A19" s="100" t="s">
        <v>152</v>
      </c>
      <c r="B19" s="93"/>
      <c r="C19" s="92">
        <v>2500</v>
      </c>
      <c r="D19" s="87"/>
      <c r="E19" s="94">
        <v>4</v>
      </c>
      <c r="F19" s="96">
        <f t="shared" ref="F19:J19" si="18">F18*(1+$M$4)</f>
        <v>13771.164376795819</v>
      </c>
      <c r="G19" s="96">
        <f t="shared" si="18"/>
        <v>14809.243236242364</v>
      </c>
      <c r="H19" s="96">
        <f t="shared" si="18"/>
        <v>9854.0786312980108</v>
      </c>
      <c r="I19" s="96">
        <f t="shared" si="18"/>
        <v>10298.969571060821</v>
      </c>
      <c r="J19" s="96">
        <f t="shared" si="18"/>
        <v>6647.7956516281329</v>
      </c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30" x14ac:dyDescent="0.2">
      <c r="A20" s="100" t="s">
        <v>153</v>
      </c>
      <c r="B20" s="93"/>
      <c r="C20" s="92">
        <v>3200</v>
      </c>
      <c r="D20" s="87"/>
      <c r="E20" s="94">
        <v>5</v>
      </c>
      <c r="F20" s="96">
        <f t="shared" ref="F20:J20" si="19">F19*(1+$M$4)</f>
        <v>13791.821123361015</v>
      </c>
      <c r="G20" s="96">
        <f t="shared" si="19"/>
        <v>14831.457101096728</v>
      </c>
      <c r="H20" s="96">
        <f t="shared" si="19"/>
        <v>9868.8597492449589</v>
      </c>
      <c r="I20" s="96">
        <f t="shared" si="19"/>
        <v>10314.418025417413</v>
      </c>
      <c r="J20" s="96">
        <f t="shared" si="19"/>
        <v>6657.7673451055753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x14ac:dyDescent="0.2">
      <c r="A21" s="93" t="s">
        <v>154</v>
      </c>
      <c r="B21" s="93"/>
      <c r="C21" s="92">
        <v>4000</v>
      </c>
      <c r="D21" s="87"/>
      <c r="E21" s="94">
        <v>6</v>
      </c>
      <c r="F21" s="96">
        <f t="shared" ref="F21:J21" si="20">F20*(1+$M$4)</f>
        <v>13812.508855046057</v>
      </c>
      <c r="G21" s="96">
        <f t="shared" si="20"/>
        <v>14853.704286748374</v>
      </c>
      <c r="H21" s="96">
        <f t="shared" si="20"/>
        <v>9883.6630388688263</v>
      </c>
      <c r="I21" s="96">
        <f t="shared" si="20"/>
        <v>10329.88965245554</v>
      </c>
      <c r="J21" s="96">
        <f t="shared" si="20"/>
        <v>6667.7539961232342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x14ac:dyDescent="0.2">
      <c r="A22" s="87"/>
      <c r="B22" s="87"/>
      <c r="C22" s="87"/>
      <c r="D22" s="87"/>
      <c r="E22" s="94">
        <v>7</v>
      </c>
      <c r="F22" s="96">
        <f t="shared" ref="F22:J22" si="21">F21*(1+$M$4)</f>
        <v>13833.227618328627</v>
      </c>
      <c r="G22" s="96">
        <f t="shared" si="21"/>
        <v>14875.984843178498</v>
      </c>
      <c r="H22" s="96">
        <f t="shared" si="21"/>
        <v>9898.4885334271294</v>
      </c>
      <c r="I22" s="96">
        <f t="shared" si="21"/>
        <v>10345.384486934225</v>
      </c>
      <c r="J22" s="96">
        <f t="shared" si="21"/>
        <v>6677.755627117419</v>
      </c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x14ac:dyDescent="0.2">
      <c r="A23" s="87"/>
      <c r="B23" s="87"/>
      <c r="C23" s="87"/>
      <c r="D23" s="87"/>
      <c r="E23" s="94">
        <v>8</v>
      </c>
      <c r="F23" s="96">
        <f t="shared" ref="F23:J23" si="22">F22*(1+$M$4)</f>
        <v>13853.977459756121</v>
      </c>
      <c r="G23" s="96">
        <f t="shared" si="22"/>
        <v>14898.298820443266</v>
      </c>
      <c r="H23" s="96">
        <f t="shared" si="22"/>
        <v>9913.3362662272702</v>
      </c>
      <c r="I23" s="96">
        <f t="shared" si="22"/>
        <v>10360.902563664627</v>
      </c>
      <c r="J23" s="96">
        <f t="shared" si="22"/>
        <v>6687.7722605580957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x14ac:dyDescent="0.2">
      <c r="A24" s="87"/>
      <c r="B24" s="87"/>
      <c r="C24" s="87"/>
      <c r="D24" s="87"/>
      <c r="E24" s="94">
        <v>9</v>
      </c>
      <c r="F24" s="96">
        <f t="shared" ref="F24:J24" si="23">F23*(1+$M$4)</f>
        <v>13874.758425945756</v>
      </c>
      <c r="G24" s="96">
        <f t="shared" si="23"/>
        <v>14920.646268673932</v>
      </c>
      <c r="H24" s="96">
        <f t="shared" si="23"/>
        <v>9928.2062706266115</v>
      </c>
      <c r="I24" s="96">
        <f t="shared" si="23"/>
        <v>10376.443917510125</v>
      </c>
      <c r="J24" s="96">
        <f t="shared" si="23"/>
        <v>6697.8039189489336</v>
      </c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x14ac:dyDescent="0.2">
      <c r="A25" s="87"/>
      <c r="B25" s="87"/>
      <c r="C25" s="87"/>
      <c r="D25" s="87"/>
      <c r="E25" s="94">
        <v>10</v>
      </c>
      <c r="F25" s="96">
        <f t="shared" ref="F25:J25" si="24">F24*(1+$M$4)</f>
        <v>13895.570563584675</v>
      </c>
      <c r="G25" s="96">
        <f t="shared" si="24"/>
        <v>14943.027238076944</v>
      </c>
      <c r="H25" s="96">
        <f t="shared" si="24"/>
        <v>9943.0985800325525</v>
      </c>
      <c r="I25" s="96">
        <f t="shared" si="24"/>
        <v>10392.00858338639</v>
      </c>
      <c r="J25" s="96">
        <f t="shared" si="24"/>
        <v>6707.850624827357</v>
      </c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x14ac:dyDescent="0.2">
      <c r="A26" s="87"/>
      <c r="B26" s="87"/>
      <c r="C26" s="87"/>
      <c r="D26" s="87"/>
      <c r="E26" s="94">
        <v>11</v>
      </c>
      <c r="F26" s="96">
        <f t="shared" ref="F26:J26" si="25">F25*(1+$M$4)</f>
        <v>13916.413919430053</v>
      </c>
      <c r="G26" s="96">
        <f t="shared" si="25"/>
        <v>14965.44177893406</v>
      </c>
      <c r="H26" s="96">
        <f t="shared" si="25"/>
        <v>9958.013227902602</v>
      </c>
      <c r="I26" s="96">
        <f t="shared" si="25"/>
        <v>10407.59659626147</v>
      </c>
      <c r="J26" s="96">
        <f t="shared" si="25"/>
        <v>6717.9124007645987</v>
      </c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x14ac:dyDescent="0.2">
      <c r="A27" s="87"/>
      <c r="B27" s="87"/>
      <c r="C27" s="87"/>
      <c r="D27" s="87"/>
      <c r="E27" s="94">
        <v>12</v>
      </c>
      <c r="F27" s="96">
        <f t="shared" ref="F27:J27" si="26">F26*(1+$M$4)</f>
        <v>13937.288540309199</v>
      </c>
      <c r="G27" s="96">
        <f t="shared" si="26"/>
        <v>14987.889941602463</v>
      </c>
      <c r="H27" s="96">
        <f t="shared" si="26"/>
        <v>9972.9502477444566</v>
      </c>
      <c r="I27" s="96">
        <f t="shared" si="26"/>
        <v>10423.207991155863</v>
      </c>
      <c r="J27" s="96">
        <f t="shared" si="26"/>
        <v>6727.9892693657457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47.25" x14ac:dyDescent="0.2">
      <c r="A28" s="87"/>
      <c r="B28" s="87"/>
      <c r="C28" s="87"/>
      <c r="D28" s="87"/>
      <c r="E28" s="90" t="s">
        <v>163</v>
      </c>
      <c r="F28" s="102">
        <f t="shared" ref="F28:J28" si="27">SUM(F16:F27)</f>
        <v>165876.59268904803</v>
      </c>
      <c r="G28" s="102">
        <f t="shared" si="27"/>
        <v>178380.47249442365</v>
      </c>
      <c r="H28" s="102">
        <f t="shared" si="27"/>
        <v>118694.46495053679</v>
      </c>
      <c r="I28" s="102">
        <f t="shared" si="27"/>
        <v>124053.27058141213</v>
      </c>
      <c r="J28" s="102">
        <f t="shared" si="27"/>
        <v>80074.107128021686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x14ac:dyDescent="0.2">
      <c r="A29" s="87"/>
      <c r="B29" s="87"/>
      <c r="C29" s="87"/>
      <c r="D29" s="87"/>
      <c r="E29" s="94">
        <v>1</v>
      </c>
      <c r="F29" s="96">
        <f t="shared" ref="F29:J29" si="28">F27*(1+$M$5)</f>
        <v>13958.194473119664</v>
      </c>
      <c r="G29" s="96">
        <f t="shared" si="28"/>
        <v>15010.371776514869</v>
      </c>
      <c r="H29" s="96">
        <f t="shared" si="28"/>
        <v>9987.9096731160735</v>
      </c>
      <c r="I29" s="96">
        <f t="shared" si="28"/>
        <v>10438.842803142597</v>
      </c>
      <c r="J29" s="96">
        <f t="shared" si="28"/>
        <v>6738.0812532697946</v>
      </c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x14ac:dyDescent="0.2">
      <c r="A30" s="87"/>
      <c r="B30" s="87"/>
      <c r="C30" s="87"/>
      <c r="D30" s="87"/>
      <c r="E30" s="94">
        <v>2</v>
      </c>
      <c r="F30" s="96">
        <f t="shared" ref="F30:J30" si="29">F29*(1+$M$5)</f>
        <v>13979.131764829344</v>
      </c>
      <c r="G30" s="96">
        <f t="shared" si="29"/>
        <v>15032.887334179642</v>
      </c>
      <c r="H30" s="96">
        <f t="shared" si="29"/>
        <v>10002.891537625748</v>
      </c>
      <c r="I30" s="96">
        <f t="shared" si="29"/>
        <v>10454.501067347312</v>
      </c>
      <c r="J30" s="96">
        <f t="shared" si="29"/>
        <v>6748.1883751496998</v>
      </c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x14ac:dyDescent="0.2">
      <c r="A31" s="87"/>
      <c r="B31" s="87"/>
      <c r="C31" s="87"/>
      <c r="D31" s="87"/>
      <c r="E31" s="94">
        <v>3</v>
      </c>
      <c r="F31" s="96">
        <f t="shared" ref="F31:J31" si="30">F30*(1+$M$5)</f>
        <v>14000.100462476588</v>
      </c>
      <c r="G31" s="96">
        <f t="shared" si="30"/>
        <v>15055.436665180912</v>
      </c>
      <c r="H31" s="96">
        <f t="shared" si="30"/>
        <v>10017.895874932188</v>
      </c>
      <c r="I31" s="96">
        <f t="shared" si="30"/>
        <v>10470.182818948333</v>
      </c>
      <c r="J31" s="96">
        <f t="shared" si="30"/>
        <v>6758.3106577124245</v>
      </c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x14ac:dyDescent="0.2">
      <c r="A32" s="87"/>
      <c r="B32" s="87"/>
      <c r="C32" s="87"/>
      <c r="D32" s="87"/>
      <c r="E32" s="94">
        <v>4</v>
      </c>
      <c r="F32" s="96">
        <f t="shared" ref="F32:J32" si="31">F31*(1+$M$5)</f>
        <v>14021.100613170303</v>
      </c>
      <c r="G32" s="96">
        <f t="shared" si="31"/>
        <v>15078.019820178684</v>
      </c>
      <c r="H32" s="96">
        <f t="shared" si="31"/>
        <v>10032.922718744587</v>
      </c>
      <c r="I32" s="96">
        <f t="shared" si="31"/>
        <v>10485.888093176756</v>
      </c>
      <c r="J32" s="96">
        <f t="shared" si="31"/>
        <v>6768.4481236989932</v>
      </c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x14ac:dyDescent="0.2">
      <c r="A33" s="87"/>
      <c r="B33" s="87"/>
      <c r="C33" s="87"/>
      <c r="D33" s="87"/>
      <c r="E33" s="94">
        <v>5</v>
      </c>
      <c r="F33" s="96">
        <f t="shared" ref="F33:J33" si="32">F32*(1+$M$5)</f>
        <v>14042.13226409006</v>
      </c>
      <c r="G33" s="96">
        <f t="shared" si="32"/>
        <v>15100.636849908953</v>
      </c>
      <c r="H33" s="96">
        <f t="shared" si="32"/>
        <v>10047.972102822705</v>
      </c>
      <c r="I33" s="96">
        <f t="shared" si="32"/>
        <v>10501.616925316523</v>
      </c>
      <c r="J33" s="96">
        <f t="shared" si="32"/>
        <v>6778.6007958845421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x14ac:dyDescent="0.2">
      <c r="A34" s="87"/>
      <c r="B34" s="87"/>
      <c r="C34" s="87"/>
      <c r="D34" s="87"/>
      <c r="E34" s="94">
        <v>6</v>
      </c>
      <c r="F34" s="96">
        <f t="shared" ref="F34:J34" si="33">F33*(1+$M$5)</f>
        <v>14063.195462486196</v>
      </c>
      <c r="G34" s="96">
        <f t="shared" si="33"/>
        <v>15123.287805183818</v>
      </c>
      <c r="H34" s="96">
        <f t="shared" si="33"/>
        <v>10063.044060976939</v>
      </c>
      <c r="I34" s="96">
        <f t="shared" si="33"/>
        <v>10517.369350704497</v>
      </c>
      <c r="J34" s="96">
        <f t="shared" si="33"/>
        <v>6788.7686970783689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x14ac:dyDescent="0.2">
      <c r="A35" s="87"/>
      <c r="B35" s="87"/>
      <c r="C35" s="87"/>
      <c r="D35" s="87"/>
      <c r="E35" s="94">
        <v>7</v>
      </c>
      <c r="F35" s="96">
        <f t="shared" ref="F35:J35" si="34">F34*(1+$M$5)</f>
        <v>14084.290255679925</v>
      </c>
      <c r="G35" s="96">
        <f t="shared" si="34"/>
        <v>15145.972736891594</v>
      </c>
      <c r="H35" s="96">
        <f t="shared" si="34"/>
        <v>10078.138627068405</v>
      </c>
      <c r="I35" s="96">
        <f t="shared" si="34"/>
        <v>10533.145404730554</v>
      </c>
      <c r="J35" s="96">
        <f t="shared" si="34"/>
        <v>6798.9518501239872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x14ac:dyDescent="0.2">
      <c r="A36" s="87"/>
      <c r="B36" s="87"/>
      <c r="C36" s="87"/>
      <c r="D36" s="87"/>
      <c r="E36" s="94">
        <v>8</v>
      </c>
      <c r="F36" s="96">
        <f t="shared" ref="F36:J36" si="35">F35*(1+$M$5)</f>
        <v>14105.416691063447</v>
      </c>
      <c r="G36" s="96">
        <f t="shared" si="35"/>
        <v>15168.691695996931</v>
      </c>
      <c r="H36" s="96">
        <f t="shared" si="35"/>
        <v>10093.255835009008</v>
      </c>
      <c r="I36" s="96">
        <f t="shared" si="35"/>
        <v>10548.945122837651</v>
      </c>
      <c r="J36" s="96">
        <f t="shared" si="35"/>
        <v>6809.1502778991735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x14ac:dyDescent="0.2">
      <c r="A37" s="87"/>
      <c r="B37" s="87"/>
      <c r="C37" s="87"/>
      <c r="D37" s="87"/>
      <c r="E37" s="94">
        <v>9</v>
      </c>
      <c r="F37" s="96">
        <f t="shared" ref="F37:J37" si="36">F36*(1+$M$5)</f>
        <v>14126.574816100043</v>
      </c>
      <c r="G37" s="96">
        <f t="shared" si="36"/>
        <v>15191.444733540928</v>
      </c>
      <c r="H37" s="96">
        <f t="shared" si="36"/>
        <v>10108.395718761521</v>
      </c>
      <c r="I37" s="96">
        <f t="shared" si="36"/>
        <v>10564.768540521909</v>
      </c>
      <c r="J37" s="96">
        <f t="shared" si="36"/>
        <v>6819.3640033160227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x14ac:dyDescent="0.2">
      <c r="A38" s="87"/>
      <c r="B38" s="87"/>
      <c r="C38" s="87"/>
      <c r="D38" s="87"/>
      <c r="E38" s="94">
        <v>10</v>
      </c>
      <c r="F38" s="96">
        <f t="shared" ref="F38:J38" si="37">F37*(1+$M$5)</f>
        <v>14147.764678324194</v>
      </c>
      <c r="G38" s="96">
        <f t="shared" si="37"/>
        <v>15214.23190064124</v>
      </c>
      <c r="H38" s="96">
        <f t="shared" si="37"/>
        <v>10123.558312339665</v>
      </c>
      <c r="I38" s="96">
        <f t="shared" si="37"/>
        <v>10580.615693332693</v>
      </c>
      <c r="J38" s="96">
        <f t="shared" si="37"/>
        <v>6829.5930493209971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x14ac:dyDescent="0.2">
      <c r="A39" s="87"/>
      <c r="B39" s="87"/>
      <c r="C39" s="87"/>
      <c r="D39" s="87"/>
      <c r="E39" s="94">
        <v>11</v>
      </c>
      <c r="F39" s="96">
        <f t="shared" ref="F39:J39" si="38">F38*(1+$M$5)</f>
        <v>14168.986325341681</v>
      </c>
      <c r="G39" s="96">
        <f t="shared" si="38"/>
        <v>15237.053248492202</v>
      </c>
      <c r="H39" s="96">
        <f t="shared" si="38"/>
        <v>10138.743649808175</v>
      </c>
      <c r="I39" s="96">
        <f t="shared" si="38"/>
        <v>10596.486616872693</v>
      </c>
      <c r="J39" s="96">
        <f t="shared" si="38"/>
        <v>6839.8374388949787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x14ac:dyDescent="0.2">
      <c r="A40" s="87"/>
      <c r="B40" s="87"/>
      <c r="C40" s="87"/>
      <c r="D40" s="87"/>
      <c r="E40" s="94">
        <v>12</v>
      </c>
      <c r="F40" s="96">
        <f t="shared" ref="F40:J40" si="39">F39*(1+$M$5)</f>
        <v>14190.239804829695</v>
      </c>
      <c r="G40" s="96">
        <f t="shared" si="39"/>
        <v>15259.908828364942</v>
      </c>
      <c r="H40" s="96">
        <f t="shared" si="39"/>
        <v>10153.951765282887</v>
      </c>
      <c r="I40" s="96">
        <f t="shared" si="39"/>
        <v>10612.381346798004</v>
      </c>
      <c r="J40" s="96">
        <f t="shared" si="39"/>
        <v>6850.0971950533212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31.5" x14ac:dyDescent="0.2">
      <c r="A41" s="87"/>
      <c r="B41" s="87"/>
      <c r="C41" s="87"/>
      <c r="D41" s="87"/>
      <c r="E41" s="90" t="s">
        <v>164</v>
      </c>
      <c r="F41" s="102">
        <f t="shared" ref="F41:J41" si="40">SUM(F29:F40)</f>
        <v>168887.12761151115</v>
      </c>
      <c r="G41" s="102">
        <f t="shared" si="40"/>
        <v>181617.94339507472</v>
      </c>
      <c r="H41" s="102">
        <f t="shared" si="40"/>
        <v>120848.67987648791</v>
      </c>
      <c r="I41" s="102">
        <f t="shared" si="40"/>
        <v>126304.74378372953</v>
      </c>
      <c r="J41" s="102">
        <f t="shared" si="40"/>
        <v>81527.391717402308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x14ac:dyDescent="0.2">
      <c r="A42" s="87"/>
      <c r="B42" s="87"/>
      <c r="C42" s="87"/>
      <c r="D42" s="87"/>
      <c r="E42" s="103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x14ac:dyDescent="0.2">
      <c r="A43" s="87"/>
      <c r="B43" s="87"/>
      <c r="C43" s="87"/>
      <c r="D43" s="87"/>
      <c r="E43" s="103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x14ac:dyDescent="0.2">
      <c r="A44" s="87"/>
      <c r="B44" s="87"/>
      <c r="C44" s="87"/>
      <c r="D44" s="87"/>
      <c r="E44" s="103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x14ac:dyDescent="0.2">
      <c r="A45" s="87"/>
      <c r="B45" s="87"/>
      <c r="C45" s="87"/>
      <c r="D45" s="87"/>
      <c r="E45" s="103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">
      <c r="A46" s="87"/>
      <c r="B46" s="87"/>
      <c r="C46" s="87"/>
      <c r="D46" s="87"/>
      <c r="E46" s="103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x14ac:dyDescent="0.2">
      <c r="A47" s="87"/>
      <c r="B47" s="87"/>
      <c r="C47" s="87"/>
      <c r="D47" s="87"/>
      <c r="E47" s="103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x14ac:dyDescent="0.2">
      <c r="A48" s="87"/>
      <c r="B48" s="87"/>
      <c r="C48" s="87"/>
      <c r="D48" s="87"/>
      <c r="E48" s="103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x14ac:dyDescent="0.2">
      <c r="A49" s="87"/>
      <c r="B49" s="87"/>
      <c r="C49" s="87"/>
      <c r="D49" s="87"/>
      <c r="E49" s="103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x14ac:dyDescent="0.2">
      <c r="A50" s="87"/>
      <c r="B50" s="87"/>
      <c r="C50" s="87"/>
      <c r="D50" s="87"/>
      <c r="E50" s="103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x14ac:dyDescent="0.2">
      <c r="A51" s="87"/>
      <c r="B51" s="87"/>
      <c r="C51" s="87"/>
      <c r="D51" s="87"/>
      <c r="E51" s="103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x14ac:dyDescent="0.2">
      <c r="A52" s="87"/>
      <c r="B52" s="87"/>
      <c r="C52" s="87"/>
      <c r="D52" s="87"/>
      <c r="E52" s="103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x14ac:dyDescent="0.2">
      <c r="A53" s="87"/>
      <c r="B53" s="87"/>
      <c r="C53" s="87"/>
      <c r="D53" s="87"/>
      <c r="E53" s="103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x14ac:dyDescent="0.2">
      <c r="A54" s="87"/>
      <c r="B54" s="87"/>
      <c r="C54" s="87"/>
      <c r="D54" s="87"/>
      <c r="E54" s="103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x14ac:dyDescent="0.2">
      <c r="A55" s="87"/>
      <c r="B55" s="87"/>
      <c r="C55" s="87"/>
      <c r="D55" s="87"/>
      <c r="E55" s="103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x14ac:dyDescent="0.2">
      <c r="A56" s="87"/>
      <c r="B56" s="87"/>
      <c r="C56" s="87"/>
      <c r="D56" s="87"/>
      <c r="E56" s="103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x14ac:dyDescent="0.2">
      <c r="A57" s="87"/>
      <c r="B57" s="87"/>
      <c r="C57" s="87"/>
      <c r="D57" s="87"/>
      <c r="E57" s="103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x14ac:dyDescent="0.2">
      <c r="A58" s="87"/>
      <c r="B58" s="87"/>
      <c r="C58" s="87"/>
      <c r="D58" s="87"/>
      <c r="E58" s="103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x14ac:dyDescent="0.2">
      <c r="A59" s="87"/>
      <c r="B59" s="87"/>
      <c r="C59" s="87"/>
      <c r="D59" s="87"/>
      <c r="E59" s="103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x14ac:dyDescent="0.2">
      <c r="A60" s="87"/>
      <c r="B60" s="87"/>
      <c r="C60" s="87"/>
      <c r="D60" s="87"/>
      <c r="E60" s="103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x14ac:dyDescent="0.2">
      <c r="A61" s="87"/>
      <c r="B61" s="87"/>
      <c r="C61" s="87"/>
      <c r="D61" s="87"/>
      <c r="E61" s="103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x14ac:dyDescent="0.2">
      <c r="A62" s="87"/>
      <c r="B62" s="87"/>
      <c r="C62" s="87"/>
      <c r="D62" s="87"/>
      <c r="E62" s="103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x14ac:dyDescent="0.2">
      <c r="A63" s="87"/>
      <c r="B63" s="87"/>
      <c r="C63" s="87"/>
      <c r="D63" s="87"/>
      <c r="E63" s="103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x14ac:dyDescent="0.2">
      <c r="A64" s="87"/>
      <c r="B64" s="87"/>
      <c r="C64" s="87"/>
      <c r="D64" s="87"/>
      <c r="E64" s="103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x14ac:dyDescent="0.2">
      <c r="A65" s="87"/>
      <c r="B65" s="87"/>
      <c r="C65" s="87"/>
      <c r="D65" s="87"/>
      <c r="E65" s="103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x14ac:dyDescent="0.2">
      <c r="A66" s="87"/>
      <c r="B66" s="87"/>
      <c r="C66" s="87"/>
      <c r="D66" s="87"/>
      <c r="E66" s="103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x14ac:dyDescent="0.2">
      <c r="A67" s="87"/>
      <c r="B67" s="87"/>
      <c r="C67" s="87"/>
      <c r="D67" s="87"/>
      <c r="E67" s="103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x14ac:dyDescent="0.2">
      <c r="A68" s="87"/>
      <c r="B68" s="87"/>
      <c r="C68" s="87"/>
      <c r="D68" s="87"/>
      <c r="E68" s="103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x14ac:dyDescent="0.2">
      <c r="A69" s="87"/>
      <c r="B69" s="87"/>
      <c r="C69" s="87"/>
      <c r="D69" s="87"/>
      <c r="E69" s="103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x14ac:dyDescent="0.2">
      <c r="A70" s="87"/>
      <c r="B70" s="87"/>
      <c r="C70" s="87"/>
      <c r="D70" s="87"/>
      <c r="E70" s="103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x14ac:dyDescent="0.2">
      <c r="A71" s="87"/>
      <c r="B71" s="87"/>
      <c r="C71" s="87"/>
      <c r="D71" s="87"/>
      <c r="E71" s="103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x14ac:dyDescent="0.2">
      <c r="A72" s="87"/>
      <c r="B72" s="87"/>
      <c r="C72" s="87"/>
      <c r="D72" s="87"/>
      <c r="E72" s="103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x14ac:dyDescent="0.2">
      <c r="A73" s="87"/>
      <c r="B73" s="87"/>
      <c r="C73" s="87"/>
      <c r="D73" s="87"/>
      <c r="E73" s="103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x14ac:dyDescent="0.2">
      <c r="A74" s="87"/>
      <c r="B74" s="87"/>
      <c r="C74" s="87"/>
      <c r="D74" s="87"/>
      <c r="E74" s="103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x14ac:dyDescent="0.2">
      <c r="A75" s="87"/>
      <c r="B75" s="87"/>
      <c r="C75" s="87"/>
      <c r="D75" s="87"/>
      <c r="E75" s="103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x14ac:dyDescent="0.2">
      <c r="A76" s="87"/>
      <c r="B76" s="87"/>
      <c r="C76" s="87"/>
      <c r="D76" s="87"/>
      <c r="E76" s="103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x14ac:dyDescent="0.2">
      <c r="A77" s="87"/>
      <c r="B77" s="87"/>
      <c r="C77" s="87"/>
      <c r="D77" s="87"/>
      <c r="E77" s="103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x14ac:dyDescent="0.2">
      <c r="A78" s="87"/>
      <c r="B78" s="87"/>
      <c r="C78" s="87"/>
      <c r="D78" s="87"/>
      <c r="E78" s="103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x14ac:dyDescent="0.2">
      <c r="A79" s="87"/>
      <c r="B79" s="87"/>
      <c r="C79" s="87"/>
      <c r="D79" s="87"/>
      <c r="E79" s="103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x14ac:dyDescent="0.2">
      <c r="A80" s="87"/>
      <c r="B80" s="87"/>
      <c r="C80" s="87"/>
      <c r="D80" s="87"/>
      <c r="E80" s="103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x14ac:dyDescent="0.2">
      <c r="A81" s="87"/>
      <c r="B81" s="87"/>
      <c r="C81" s="87"/>
      <c r="D81" s="87"/>
      <c r="E81" s="103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x14ac:dyDescent="0.2">
      <c r="A82" s="87"/>
      <c r="B82" s="87"/>
      <c r="C82" s="87"/>
      <c r="D82" s="87"/>
      <c r="E82" s="103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x14ac:dyDescent="0.2">
      <c r="A83" s="87"/>
      <c r="B83" s="87"/>
      <c r="C83" s="87"/>
      <c r="D83" s="87"/>
      <c r="E83" s="103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x14ac:dyDescent="0.2">
      <c r="A84" s="87"/>
      <c r="B84" s="87"/>
      <c r="C84" s="87"/>
      <c r="D84" s="87"/>
      <c r="E84" s="103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x14ac:dyDescent="0.2">
      <c r="A85" s="87"/>
      <c r="B85" s="87"/>
      <c r="C85" s="87"/>
      <c r="D85" s="87"/>
      <c r="E85" s="103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x14ac:dyDescent="0.2">
      <c r="A86" s="87"/>
      <c r="B86" s="87"/>
      <c r="C86" s="87"/>
      <c r="D86" s="87"/>
      <c r="E86" s="103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x14ac:dyDescent="0.2">
      <c r="A87" s="87"/>
      <c r="B87" s="87"/>
      <c r="C87" s="87"/>
      <c r="D87" s="87"/>
      <c r="E87" s="103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x14ac:dyDescent="0.2">
      <c r="A88" s="87"/>
      <c r="B88" s="87"/>
      <c r="C88" s="87"/>
      <c r="D88" s="87"/>
      <c r="E88" s="103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x14ac:dyDescent="0.2">
      <c r="A89" s="87"/>
      <c r="B89" s="87"/>
      <c r="C89" s="87"/>
      <c r="D89" s="87"/>
      <c r="E89" s="103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x14ac:dyDescent="0.2">
      <c r="A90" s="87"/>
      <c r="B90" s="87"/>
      <c r="C90" s="87"/>
      <c r="D90" s="87"/>
      <c r="E90" s="103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x14ac:dyDescent="0.2">
      <c r="A91" s="87"/>
      <c r="B91" s="87"/>
      <c r="C91" s="87"/>
      <c r="D91" s="87"/>
      <c r="E91" s="103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x14ac:dyDescent="0.2">
      <c r="A92" s="87"/>
      <c r="B92" s="87"/>
      <c r="C92" s="87"/>
      <c r="D92" s="87"/>
      <c r="E92" s="103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x14ac:dyDescent="0.2">
      <c r="A93" s="87"/>
      <c r="B93" s="87"/>
      <c r="C93" s="87"/>
      <c r="D93" s="87"/>
      <c r="E93" s="103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x14ac:dyDescent="0.2">
      <c r="A94" s="87"/>
      <c r="B94" s="87"/>
      <c r="C94" s="87"/>
      <c r="D94" s="87"/>
      <c r="E94" s="103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x14ac:dyDescent="0.2">
      <c r="A95" s="87"/>
      <c r="B95" s="87"/>
      <c r="C95" s="87"/>
      <c r="D95" s="87"/>
      <c r="E95" s="103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x14ac:dyDescent="0.2">
      <c r="A96" s="87"/>
      <c r="B96" s="87"/>
      <c r="C96" s="87"/>
      <c r="D96" s="87"/>
      <c r="E96" s="103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x14ac:dyDescent="0.2">
      <c r="A97" s="87"/>
      <c r="B97" s="87"/>
      <c r="C97" s="87"/>
      <c r="D97" s="87"/>
      <c r="E97" s="103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x14ac:dyDescent="0.2">
      <c r="A98" s="87"/>
      <c r="B98" s="87"/>
      <c r="C98" s="87"/>
      <c r="D98" s="87"/>
      <c r="E98" s="103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x14ac:dyDescent="0.2">
      <c r="A99" s="87"/>
      <c r="B99" s="87"/>
      <c r="C99" s="87"/>
      <c r="D99" s="87"/>
      <c r="E99" s="103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x14ac:dyDescent="0.2">
      <c r="A100" s="87"/>
      <c r="B100" s="87"/>
      <c r="C100" s="87"/>
      <c r="D100" s="87"/>
      <c r="E100" s="103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x14ac:dyDescent="0.2">
      <c r="A101" s="87"/>
      <c r="B101" s="87"/>
      <c r="C101" s="87"/>
      <c r="D101" s="87"/>
      <c r="E101" s="103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x14ac:dyDescent="0.2">
      <c r="A102" s="87"/>
      <c r="B102" s="87"/>
      <c r="C102" s="87"/>
      <c r="D102" s="87"/>
      <c r="E102" s="103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x14ac:dyDescent="0.2">
      <c r="A103" s="87"/>
      <c r="B103" s="87"/>
      <c r="C103" s="87"/>
      <c r="D103" s="87"/>
      <c r="E103" s="103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x14ac:dyDescent="0.2">
      <c r="A104" s="87"/>
      <c r="B104" s="87"/>
      <c r="C104" s="87"/>
      <c r="D104" s="87"/>
      <c r="E104" s="103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x14ac:dyDescent="0.2">
      <c r="A105" s="87"/>
      <c r="B105" s="87"/>
      <c r="C105" s="87"/>
      <c r="D105" s="87"/>
      <c r="E105" s="103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x14ac:dyDescent="0.2">
      <c r="A106" s="87"/>
      <c r="B106" s="87"/>
      <c r="C106" s="87"/>
      <c r="D106" s="87"/>
      <c r="E106" s="103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x14ac:dyDescent="0.2">
      <c r="A107" s="87"/>
      <c r="B107" s="87"/>
      <c r="C107" s="87"/>
      <c r="D107" s="87"/>
      <c r="E107" s="103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x14ac:dyDescent="0.2">
      <c r="A108" s="87"/>
      <c r="B108" s="87"/>
      <c r="C108" s="87"/>
      <c r="D108" s="87"/>
      <c r="E108" s="103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x14ac:dyDescent="0.2">
      <c r="A109" s="87"/>
      <c r="B109" s="87"/>
      <c r="C109" s="87"/>
      <c r="D109" s="87"/>
      <c r="E109" s="103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x14ac:dyDescent="0.2">
      <c r="A110" s="87"/>
      <c r="B110" s="87"/>
      <c r="C110" s="87"/>
      <c r="D110" s="87"/>
      <c r="E110" s="103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x14ac:dyDescent="0.2">
      <c r="A111" s="87"/>
      <c r="B111" s="87"/>
      <c r="C111" s="87"/>
      <c r="D111" s="87"/>
      <c r="E111" s="103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x14ac:dyDescent="0.2">
      <c r="A112" s="87"/>
      <c r="B112" s="87"/>
      <c r="C112" s="87"/>
      <c r="D112" s="87"/>
      <c r="E112" s="103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x14ac:dyDescent="0.2">
      <c r="A113" s="87"/>
      <c r="B113" s="87"/>
      <c r="C113" s="87"/>
      <c r="D113" s="87"/>
      <c r="E113" s="103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x14ac:dyDescent="0.2">
      <c r="A114" s="87"/>
      <c r="B114" s="87"/>
      <c r="C114" s="87"/>
      <c r="D114" s="87"/>
      <c r="E114" s="103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x14ac:dyDescent="0.2">
      <c r="A115" s="87"/>
      <c r="B115" s="87"/>
      <c r="C115" s="87"/>
      <c r="D115" s="87"/>
      <c r="E115" s="103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x14ac:dyDescent="0.2">
      <c r="A116" s="87"/>
      <c r="B116" s="87"/>
      <c r="C116" s="87"/>
      <c r="D116" s="87"/>
      <c r="E116" s="103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x14ac:dyDescent="0.2">
      <c r="A117" s="87"/>
      <c r="B117" s="87"/>
      <c r="C117" s="87"/>
      <c r="D117" s="87"/>
      <c r="E117" s="103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x14ac:dyDescent="0.2">
      <c r="A118" s="87"/>
      <c r="B118" s="87"/>
      <c r="C118" s="87"/>
      <c r="D118" s="87"/>
      <c r="E118" s="103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x14ac:dyDescent="0.2">
      <c r="A119" s="87"/>
      <c r="B119" s="87"/>
      <c r="C119" s="87"/>
      <c r="D119" s="87"/>
      <c r="E119" s="103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x14ac:dyDescent="0.2">
      <c r="A120" s="87"/>
      <c r="B120" s="87"/>
      <c r="C120" s="87"/>
      <c r="D120" s="87"/>
      <c r="E120" s="103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x14ac:dyDescent="0.2">
      <c r="A121" s="87"/>
      <c r="B121" s="87"/>
      <c r="C121" s="87"/>
      <c r="D121" s="87"/>
      <c r="E121" s="103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x14ac:dyDescent="0.2">
      <c r="A122" s="87"/>
      <c r="B122" s="87"/>
      <c r="C122" s="87"/>
      <c r="D122" s="87"/>
      <c r="E122" s="103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x14ac:dyDescent="0.2">
      <c r="A123" s="87"/>
      <c r="B123" s="87"/>
      <c r="C123" s="87"/>
      <c r="D123" s="87"/>
      <c r="E123" s="103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x14ac:dyDescent="0.2">
      <c r="A124" s="87"/>
      <c r="B124" s="87"/>
      <c r="C124" s="87"/>
      <c r="D124" s="87"/>
      <c r="E124" s="103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x14ac:dyDescent="0.2">
      <c r="A125" s="87"/>
      <c r="B125" s="87"/>
      <c r="C125" s="87"/>
      <c r="D125" s="87"/>
      <c r="E125" s="103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x14ac:dyDescent="0.2">
      <c r="A126" s="87"/>
      <c r="B126" s="87"/>
      <c r="C126" s="87"/>
      <c r="D126" s="87"/>
      <c r="E126" s="103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x14ac:dyDescent="0.2">
      <c r="A127" s="87"/>
      <c r="B127" s="87"/>
      <c r="C127" s="87"/>
      <c r="D127" s="87"/>
      <c r="E127" s="103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x14ac:dyDescent="0.2">
      <c r="A128" s="87"/>
      <c r="B128" s="87"/>
      <c r="C128" s="87"/>
      <c r="D128" s="87"/>
      <c r="E128" s="103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x14ac:dyDescent="0.2">
      <c r="A129" s="87"/>
      <c r="B129" s="87"/>
      <c r="C129" s="87"/>
      <c r="D129" s="87"/>
      <c r="E129" s="103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x14ac:dyDescent="0.2">
      <c r="A130" s="87"/>
      <c r="B130" s="87"/>
      <c r="C130" s="87"/>
      <c r="D130" s="87"/>
      <c r="E130" s="103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x14ac:dyDescent="0.2">
      <c r="A131" s="87"/>
      <c r="B131" s="87"/>
      <c r="C131" s="87"/>
      <c r="D131" s="87"/>
      <c r="E131" s="103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x14ac:dyDescent="0.2">
      <c r="A132" s="87"/>
      <c r="B132" s="87"/>
      <c r="C132" s="87"/>
      <c r="D132" s="87"/>
      <c r="E132" s="103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x14ac:dyDescent="0.2">
      <c r="A133" s="87"/>
      <c r="B133" s="87"/>
      <c r="C133" s="87"/>
      <c r="D133" s="87"/>
      <c r="E133" s="103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x14ac:dyDescent="0.2">
      <c r="A134" s="87"/>
      <c r="B134" s="87"/>
      <c r="C134" s="87"/>
      <c r="D134" s="87"/>
      <c r="E134" s="103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x14ac:dyDescent="0.2">
      <c r="A135" s="87"/>
      <c r="B135" s="87"/>
      <c r="C135" s="87"/>
      <c r="D135" s="87"/>
      <c r="E135" s="103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x14ac:dyDescent="0.2">
      <c r="A136" s="87"/>
      <c r="B136" s="87"/>
      <c r="C136" s="87"/>
      <c r="D136" s="87"/>
      <c r="E136" s="103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x14ac:dyDescent="0.2">
      <c r="A137" s="87"/>
      <c r="B137" s="87"/>
      <c r="C137" s="87"/>
      <c r="D137" s="87"/>
      <c r="E137" s="103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x14ac:dyDescent="0.2">
      <c r="A138" s="87"/>
      <c r="B138" s="87"/>
      <c r="C138" s="87"/>
      <c r="D138" s="87"/>
      <c r="E138" s="103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x14ac:dyDescent="0.2">
      <c r="A139" s="87"/>
      <c r="B139" s="87"/>
      <c r="C139" s="87"/>
      <c r="D139" s="87"/>
      <c r="E139" s="103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x14ac:dyDescent="0.2">
      <c r="A140" s="87"/>
      <c r="B140" s="87"/>
      <c r="C140" s="87"/>
      <c r="D140" s="87"/>
      <c r="E140" s="103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x14ac:dyDescent="0.2">
      <c r="A141" s="87"/>
      <c r="B141" s="87"/>
      <c r="C141" s="87"/>
      <c r="D141" s="87"/>
      <c r="E141" s="103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x14ac:dyDescent="0.2">
      <c r="A142" s="87"/>
      <c r="B142" s="87"/>
      <c r="C142" s="87"/>
      <c r="D142" s="87"/>
      <c r="E142" s="103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x14ac:dyDescent="0.2">
      <c r="A143" s="87"/>
      <c r="B143" s="87"/>
      <c r="C143" s="87"/>
      <c r="D143" s="87"/>
      <c r="E143" s="103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x14ac:dyDescent="0.2">
      <c r="A144" s="87"/>
      <c r="B144" s="87"/>
      <c r="C144" s="87"/>
      <c r="D144" s="87"/>
      <c r="E144" s="103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x14ac:dyDescent="0.2">
      <c r="A145" s="87"/>
      <c r="B145" s="87"/>
      <c r="C145" s="87"/>
      <c r="D145" s="87"/>
      <c r="E145" s="103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x14ac:dyDescent="0.2">
      <c r="A146" s="87"/>
      <c r="B146" s="87"/>
      <c r="C146" s="87"/>
      <c r="D146" s="87"/>
      <c r="E146" s="103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x14ac:dyDescent="0.2">
      <c r="A147" s="87"/>
      <c r="B147" s="87"/>
      <c r="C147" s="87"/>
      <c r="D147" s="87"/>
      <c r="E147" s="103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x14ac:dyDescent="0.2">
      <c r="A148" s="87"/>
      <c r="B148" s="87"/>
      <c r="C148" s="87"/>
      <c r="D148" s="87"/>
      <c r="E148" s="103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x14ac:dyDescent="0.2">
      <c r="A149" s="87"/>
      <c r="B149" s="87"/>
      <c r="C149" s="87"/>
      <c r="D149" s="87"/>
      <c r="E149" s="103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x14ac:dyDescent="0.2">
      <c r="A150" s="87"/>
      <c r="B150" s="87"/>
      <c r="C150" s="87"/>
      <c r="D150" s="87"/>
      <c r="E150" s="103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x14ac:dyDescent="0.2">
      <c r="A151" s="87"/>
      <c r="B151" s="87"/>
      <c r="C151" s="87"/>
      <c r="D151" s="87"/>
      <c r="E151" s="103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x14ac:dyDescent="0.2">
      <c r="A152" s="87"/>
      <c r="B152" s="87"/>
      <c r="C152" s="87"/>
      <c r="D152" s="87"/>
      <c r="E152" s="103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x14ac:dyDescent="0.2">
      <c r="A153" s="87"/>
      <c r="B153" s="87"/>
      <c r="C153" s="87"/>
      <c r="D153" s="87"/>
      <c r="E153" s="103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x14ac:dyDescent="0.2">
      <c r="A154" s="87"/>
      <c r="B154" s="87"/>
      <c r="C154" s="87"/>
      <c r="D154" s="87"/>
      <c r="E154" s="103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x14ac:dyDescent="0.2">
      <c r="A155" s="87"/>
      <c r="B155" s="87"/>
      <c r="C155" s="87"/>
      <c r="D155" s="87"/>
      <c r="E155" s="103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x14ac:dyDescent="0.2">
      <c r="A156" s="87"/>
      <c r="B156" s="87"/>
      <c r="C156" s="87"/>
      <c r="D156" s="87"/>
      <c r="E156" s="103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x14ac:dyDescent="0.2">
      <c r="A157" s="87"/>
      <c r="B157" s="87"/>
      <c r="C157" s="87"/>
      <c r="D157" s="87"/>
      <c r="E157" s="103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x14ac:dyDescent="0.2">
      <c r="A158" s="87"/>
      <c r="B158" s="87"/>
      <c r="C158" s="87"/>
      <c r="D158" s="87"/>
      <c r="E158" s="103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x14ac:dyDescent="0.2">
      <c r="A159" s="87"/>
      <c r="B159" s="87"/>
      <c r="C159" s="87"/>
      <c r="D159" s="87"/>
      <c r="E159" s="103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x14ac:dyDescent="0.2">
      <c r="A160" s="87"/>
      <c r="B160" s="87"/>
      <c r="C160" s="87"/>
      <c r="D160" s="87"/>
      <c r="E160" s="103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x14ac:dyDescent="0.2">
      <c r="A161" s="87"/>
      <c r="B161" s="87"/>
      <c r="C161" s="87"/>
      <c r="D161" s="87"/>
      <c r="E161" s="103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x14ac:dyDescent="0.2">
      <c r="A162" s="87"/>
      <c r="B162" s="87"/>
      <c r="C162" s="87"/>
      <c r="D162" s="87"/>
      <c r="E162" s="103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x14ac:dyDescent="0.2">
      <c r="A163" s="87"/>
      <c r="B163" s="87"/>
      <c r="C163" s="87"/>
      <c r="D163" s="87"/>
      <c r="E163" s="103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x14ac:dyDescent="0.2">
      <c r="A164" s="87"/>
      <c r="B164" s="87"/>
      <c r="C164" s="87"/>
      <c r="D164" s="87"/>
      <c r="E164" s="103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x14ac:dyDescent="0.2">
      <c r="A165" s="87"/>
      <c r="B165" s="87"/>
      <c r="C165" s="87"/>
      <c r="D165" s="87"/>
      <c r="E165" s="103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x14ac:dyDescent="0.2">
      <c r="A166" s="87"/>
      <c r="B166" s="87"/>
      <c r="C166" s="87"/>
      <c r="D166" s="87"/>
      <c r="E166" s="103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x14ac:dyDescent="0.2">
      <c r="A167" s="87"/>
      <c r="B167" s="87"/>
      <c r="C167" s="87"/>
      <c r="D167" s="87"/>
      <c r="E167" s="103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x14ac:dyDescent="0.2">
      <c r="A168" s="87"/>
      <c r="B168" s="87"/>
      <c r="C168" s="87"/>
      <c r="D168" s="87"/>
      <c r="E168" s="103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x14ac:dyDescent="0.2">
      <c r="A169" s="87"/>
      <c r="B169" s="87"/>
      <c r="C169" s="87"/>
      <c r="D169" s="87"/>
      <c r="E169" s="103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x14ac:dyDescent="0.2">
      <c r="A170" s="87"/>
      <c r="B170" s="87"/>
      <c r="C170" s="87"/>
      <c r="D170" s="87"/>
      <c r="E170" s="103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x14ac:dyDescent="0.2">
      <c r="A171" s="87"/>
      <c r="B171" s="87"/>
      <c r="C171" s="87"/>
      <c r="D171" s="87"/>
      <c r="E171" s="103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x14ac:dyDescent="0.2">
      <c r="A172" s="87"/>
      <c r="B172" s="87"/>
      <c r="C172" s="87"/>
      <c r="D172" s="87"/>
      <c r="E172" s="103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x14ac:dyDescent="0.2">
      <c r="A173" s="87"/>
      <c r="B173" s="87"/>
      <c r="C173" s="87"/>
      <c r="D173" s="87"/>
      <c r="E173" s="103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x14ac:dyDescent="0.2">
      <c r="A174" s="87"/>
      <c r="B174" s="87"/>
      <c r="C174" s="87"/>
      <c r="D174" s="87"/>
      <c r="E174" s="103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x14ac:dyDescent="0.2">
      <c r="A175" s="87"/>
      <c r="B175" s="87"/>
      <c r="C175" s="87"/>
      <c r="D175" s="87"/>
      <c r="E175" s="103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x14ac:dyDescent="0.2">
      <c r="A176" s="87"/>
      <c r="B176" s="87"/>
      <c r="C176" s="87"/>
      <c r="D176" s="87"/>
      <c r="E176" s="103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x14ac:dyDescent="0.2">
      <c r="A177" s="87"/>
      <c r="B177" s="87"/>
      <c r="C177" s="87"/>
      <c r="D177" s="87"/>
      <c r="E177" s="103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x14ac:dyDescent="0.2">
      <c r="A178" s="87"/>
      <c r="B178" s="87"/>
      <c r="C178" s="87"/>
      <c r="D178" s="87"/>
      <c r="E178" s="103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x14ac:dyDescent="0.2">
      <c r="A179" s="87"/>
      <c r="B179" s="87"/>
      <c r="C179" s="87"/>
      <c r="D179" s="87"/>
      <c r="E179" s="103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x14ac:dyDescent="0.2">
      <c r="A180" s="87"/>
      <c r="B180" s="87"/>
      <c r="C180" s="87"/>
      <c r="D180" s="87"/>
      <c r="E180" s="103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x14ac:dyDescent="0.2">
      <c r="A181" s="87"/>
      <c r="B181" s="87"/>
      <c r="C181" s="87"/>
      <c r="D181" s="87"/>
      <c r="E181" s="103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x14ac:dyDescent="0.2">
      <c r="A182" s="87"/>
      <c r="B182" s="87"/>
      <c r="C182" s="87"/>
      <c r="D182" s="87"/>
      <c r="E182" s="103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x14ac:dyDescent="0.2">
      <c r="A183" s="87"/>
      <c r="B183" s="87"/>
      <c r="C183" s="87"/>
      <c r="D183" s="87"/>
      <c r="E183" s="103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x14ac:dyDescent="0.2">
      <c r="A184" s="87"/>
      <c r="B184" s="87"/>
      <c r="C184" s="87"/>
      <c r="D184" s="87"/>
      <c r="E184" s="103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x14ac:dyDescent="0.2">
      <c r="A185" s="87"/>
      <c r="B185" s="87"/>
      <c r="C185" s="87"/>
      <c r="D185" s="87"/>
      <c r="E185" s="103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x14ac:dyDescent="0.2">
      <c r="A186" s="87"/>
      <c r="B186" s="87"/>
      <c r="C186" s="87"/>
      <c r="D186" s="87"/>
      <c r="E186" s="103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x14ac:dyDescent="0.2">
      <c r="A187" s="87"/>
      <c r="B187" s="87"/>
      <c r="C187" s="87"/>
      <c r="D187" s="87"/>
      <c r="E187" s="103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x14ac:dyDescent="0.2">
      <c r="A188" s="87"/>
      <c r="B188" s="87"/>
      <c r="C188" s="87"/>
      <c r="D188" s="87"/>
      <c r="E188" s="103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x14ac:dyDescent="0.2">
      <c r="A189" s="87"/>
      <c r="B189" s="87"/>
      <c r="C189" s="87"/>
      <c r="D189" s="87"/>
      <c r="E189" s="103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x14ac:dyDescent="0.2">
      <c r="A190" s="87"/>
      <c r="B190" s="87"/>
      <c r="C190" s="87"/>
      <c r="D190" s="87"/>
      <c r="E190" s="103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x14ac:dyDescent="0.2">
      <c r="A191" s="87"/>
      <c r="B191" s="87"/>
      <c r="C191" s="87"/>
      <c r="D191" s="87"/>
      <c r="E191" s="103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x14ac:dyDescent="0.2">
      <c r="A192" s="87"/>
      <c r="B192" s="87"/>
      <c r="C192" s="87"/>
      <c r="D192" s="87"/>
      <c r="E192" s="103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x14ac:dyDescent="0.2">
      <c r="A193" s="87"/>
      <c r="B193" s="87"/>
      <c r="C193" s="87"/>
      <c r="D193" s="87"/>
      <c r="E193" s="103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x14ac:dyDescent="0.2">
      <c r="A194" s="87"/>
      <c r="B194" s="87"/>
      <c r="C194" s="87"/>
      <c r="D194" s="87"/>
      <c r="E194" s="103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x14ac:dyDescent="0.2">
      <c r="A195" s="87"/>
      <c r="B195" s="87"/>
      <c r="C195" s="87"/>
      <c r="D195" s="87"/>
      <c r="E195" s="103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x14ac:dyDescent="0.2">
      <c r="A196" s="87"/>
      <c r="B196" s="87"/>
      <c r="C196" s="87"/>
      <c r="D196" s="87"/>
      <c r="E196" s="103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x14ac:dyDescent="0.2">
      <c r="A197" s="87"/>
      <c r="B197" s="87"/>
      <c r="C197" s="87"/>
      <c r="D197" s="87"/>
      <c r="E197" s="103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x14ac:dyDescent="0.2">
      <c r="A198" s="87"/>
      <c r="B198" s="87"/>
      <c r="C198" s="87"/>
      <c r="D198" s="87"/>
      <c r="E198" s="103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x14ac:dyDescent="0.2">
      <c r="A199" s="87"/>
      <c r="B199" s="87"/>
      <c r="C199" s="87"/>
      <c r="D199" s="87"/>
      <c r="E199" s="103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x14ac:dyDescent="0.2">
      <c r="A200" s="87"/>
      <c r="B200" s="87"/>
      <c r="C200" s="87"/>
      <c r="D200" s="87"/>
      <c r="E200" s="103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x14ac:dyDescent="0.2">
      <c r="A201" s="87"/>
      <c r="B201" s="87"/>
      <c r="C201" s="87"/>
      <c r="D201" s="87"/>
      <c r="E201" s="103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x14ac:dyDescent="0.2">
      <c r="A202" s="87"/>
      <c r="B202" s="87"/>
      <c r="C202" s="87"/>
      <c r="D202" s="87"/>
      <c r="E202" s="103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x14ac:dyDescent="0.2">
      <c r="A203" s="87"/>
      <c r="B203" s="87"/>
      <c r="C203" s="87"/>
      <c r="D203" s="87"/>
      <c r="E203" s="103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x14ac:dyDescent="0.2">
      <c r="A204" s="87"/>
      <c r="B204" s="87"/>
      <c r="C204" s="87"/>
      <c r="D204" s="87"/>
      <c r="E204" s="103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x14ac:dyDescent="0.2">
      <c r="A205" s="87"/>
      <c r="B205" s="87"/>
      <c r="C205" s="87"/>
      <c r="D205" s="87"/>
      <c r="E205" s="103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x14ac:dyDescent="0.2">
      <c r="A206" s="87"/>
      <c r="B206" s="87"/>
      <c r="C206" s="87"/>
      <c r="D206" s="87"/>
      <c r="E206" s="103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x14ac:dyDescent="0.2">
      <c r="A207" s="87"/>
      <c r="B207" s="87"/>
      <c r="C207" s="87"/>
      <c r="D207" s="87"/>
      <c r="E207" s="103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x14ac:dyDescent="0.2">
      <c r="A208" s="87"/>
      <c r="B208" s="87"/>
      <c r="C208" s="87"/>
      <c r="D208" s="87"/>
      <c r="E208" s="103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x14ac:dyDescent="0.2">
      <c r="A209" s="87"/>
      <c r="B209" s="87"/>
      <c r="C209" s="87"/>
      <c r="D209" s="87"/>
      <c r="E209" s="103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x14ac:dyDescent="0.2">
      <c r="A210" s="87"/>
      <c r="B210" s="87"/>
      <c r="C210" s="87"/>
      <c r="D210" s="87"/>
      <c r="E210" s="103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x14ac:dyDescent="0.2">
      <c r="A211" s="87"/>
      <c r="B211" s="87"/>
      <c r="C211" s="87"/>
      <c r="D211" s="87"/>
      <c r="E211" s="103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x14ac:dyDescent="0.2">
      <c r="A212" s="87"/>
      <c r="B212" s="87"/>
      <c r="C212" s="87"/>
      <c r="D212" s="87"/>
      <c r="E212" s="103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x14ac:dyDescent="0.2">
      <c r="A213" s="87"/>
      <c r="B213" s="87"/>
      <c r="C213" s="87"/>
      <c r="D213" s="87"/>
      <c r="E213" s="103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x14ac:dyDescent="0.2">
      <c r="A214" s="87"/>
      <c r="B214" s="87"/>
      <c r="C214" s="87"/>
      <c r="D214" s="87"/>
      <c r="E214" s="103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x14ac:dyDescent="0.2">
      <c r="A215" s="87"/>
      <c r="B215" s="87"/>
      <c r="C215" s="87"/>
      <c r="D215" s="87"/>
      <c r="E215" s="103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x14ac:dyDescent="0.2">
      <c r="A216" s="87"/>
      <c r="B216" s="87"/>
      <c r="C216" s="87"/>
      <c r="D216" s="87"/>
      <c r="E216" s="103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x14ac:dyDescent="0.2">
      <c r="A217" s="87"/>
      <c r="B217" s="87"/>
      <c r="C217" s="87"/>
      <c r="D217" s="87"/>
      <c r="E217" s="103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x14ac:dyDescent="0.2">
      <c r="A218" s="87"/>
      <c r="B218" s="87"/>
      <c r="C218" s="87"/>
      <c r="D218" s="87"/>
      <c r="E218" s="103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x14ac:dyDescent="0.2">
      <c r="A219" s="87"/>
      <c r="B219" s="87"/>
      <c r="C219" s="87"/>
      <c r="D219" s="87"/>
      <c r="E219" s="103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x14ac:dyDescent="0.2">
      <c r="A220" s="87"/>
      <c r="B220" s="87"/>
      <c r="C220" s="87"/>
      <c r="D220" s="87"/>
      <c r="E220" s="103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x14ac:dyDescent="0.2">
      <c r="A221" s="87"/>
      <c r="B221" s="87"/>
      <c r="C221" s="87"/>
      <c r="D221" s="87"/>
      <c r="E221" s="103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x14ac:dyDescent="0.2">
      <c r="A222" s="87"/>
      <c r="B222" s="87"/>
      <c r="C222" s="87"/>
      <c r="D222" s="87"/>
      <c r="E222" s="103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x14ac:dyDescent="0.2">
      <c r="A223" s="87"/>
      <c r="B223" s="87"/>
      <c r="C223" s="87"/>
      <c r="D223" s="87"/>
      <c r="E223" s="103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x14ac:dyDescent="0.2">
      <c r="A224" s="87"/>
      <c r="B224" s="87"/>
      <c r="C224" s="87"/>
      <c r="D224" s="87"/>
      <c r="E224" s="103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x14ac:dyDescent="0.2">
      <c r="A225" s="87"/>
      <c r="B225" s="87"/>
      <c r="C225" s="87"/>
      <c r="D225" s="87"/>
      <c r="E225" s="103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x14ac:dyDescent="0.2">
      <c r="A226" s="87"/>
      <c r="B226" s="87"/>
      <c r="C226" s="87"/>
      <c r="D226" s="87"/>
      <c r="E226" s="103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x14ac:dyDescent="0.2">
      <c r="A227" s="87"/>
      <c r="B227" s="87"/>
      <c r="C227" s="87"/>
      <c r="D227" s="87"/>
      <c r="E227" s="103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x14ac:dyDescent="0.2">
      <c r="A228" s="87"/>
      <c r="B228" s="87"/>
      <c r="C228" s="87"/>
      <c r="D228" s="87"/>
      <c r="E228" s="103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x14ac:dyDescent="0.2">
      <c r="A229" s="87"/>
      <c r="B229" s="87"/>
      <c r="C229" s="87"/>
      <c r="D229" s="87"/>
      <c r="E229" s="103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x14ac:dyDescent="0.2">
      <c r="A230" s="87"/>
      <c r="B230" s="87"/>
      <c r="C230" s="87"/>
      <c r="D230" s="87"/>
      <c r="E230" s="103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x14ac:dyDescent="0.2">
      <c r="A231" s="87"/>
      <c r="B231" s="87"/>
      <c r="C231" s="87"/>
      <c r="D231" s="87"/>
      <c r="E231" s="103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x14ac:dyDescent="0.2">
      <c r="A232" s="87"/>
      <c r="B232" s="87"/>
      <c r="C232" s="87"/>
      <c r="D232" s="87"/>
      <c r="E232" s="103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x14ac:dyDescent="0.2">
      <c r="A233" s="87"/>
      <c r="B233" s="87"/>
      <c r="C233" s="87"/>
      <c r="D233" s="87"/>
      <c r="E233" s="103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x14ac:dyDescent="0.2">
      <c r="A234" s="87"/>
      <c r="B234" s="87"/>
      <c r="C234" s="87"/>
      <c r="D234" s="87"/>
      <c r="E234" s="103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x14ac:dyDescent="0.2">
      <c r="A235" s="87"/>
      <c r="B235" s="87"/>
      <c r="C235" s="87"/>
      <c r="D235" s="87"/>
      <c r="E235" s="103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x14ac:dyDescent="0.2">
      <c r="A236" s="87"/>
      <c r="B236" s="87"/>
      <c r="C236" s="87"/>
      <c r="D236" s="87"/>
      <c r="E236" s="103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x14ac:dyDescent="0.2">
      <c r="A237" s="87"/>
      <c r="B237" s="87"/>
      <c r="C237" s="87"/>
      <c r="D237" s="87"/>
      <c r="E237" s="103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x14ac:dyDescent="0.2">
      <c r="A238" s="87"/>
      <c r="B238" s="87"/>
      <c r="C238" s="87"/>
      <c r="D238" s="87"/>
      <c r="E238" s="103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x14ac:dyDescent="0.2">
      <c r="A239" s="87"/>
      <c r="B239" s="87"/>
      <c r="C239" s="87"/>
      <c r="D239" s="87"/>
      <c r="E239" s="103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x14ac:dyDescent="0.2">
      <c r="A240" s="87"/>
      <c r="B240" s="87"/>
      <c r="C240" s="87"/>
      <c r="D240" s="87"/>
      <c r="E240" s="103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x14ac:dyDescent="0.2">
      <c r="A241" s="87"/>
      <c r="B241" s="87"/>
      <c r="C241" s="87"/>
      <c r="D241" s="87"/>
      <c r="E241" s="103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x14ac:dyDescent="0.2">
      <c r="A242" s="87"/>
      <c r="B242" s="87"/>
      <c r="C242" s="87"/>
      <c r="D242" s="87"/>
      <c r="E242" s="103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x14ac:dyDescent="0.2">
      <c r="A243" s="87"/>
      <c r="B243" s="87"/>
      <c r="C243" s="87"/>
      <c r="D243" s="87"/>
      <c r="E243" s="103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x14ac:dyDescent="0.2">
      <c r="A244" s="87"/>
      <c r="B244" s="87"/>
      <c r="C244" s="87"/>
      <c r="D244" s="87"/>
      <c r="E244" s="103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x14ac:dyDescent="0.2">
      <c r="A245" s="87"/>
      <c r="B245" s="87"/>
      <c r="C245" s="87"/>
      <c r="D245" s="87"/>
      <c r="E245" s="103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x14ac:dyDescent="0.2">
      <c r="A246" s="87"/>
      <c r="B246" s="87"/>
      <c r="C246" s="87"/>
      <c r="D246" s="87"/>
      <c r="E246" s="103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x14ac:dyDescent="0.2">
      <c r="A247" s="87"/>
      <c r="B247" s="87"/>
      <c r="C247" s="87"/>
      <c r="D247" s="87"/>
      <c r="E247" s="103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x14ac:dyDescent="0.2">
      <c r="A248" s="87"/>
      <c r="B248" s="87"/>
      <c r="C248" s="87"/>
      <c r="D248" s="87"/>
      <c r="E248" s="103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x14ac:dyDescent="0.2">
      <c r="A249" s="87"/>
      <c r="B249" s="87"/>
      <c r="C249" s="87"/>
      <c r="D249" s="87"/>
      <c r="E249" s="103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x14ac:dyDescent="0.2">
      <c r="A250" s="87"/>
      <c r="B250" s="87"/>
      <c r="C250" s="87"/>
      <c r="D250" s="87"/>
      <c r="E250" s="103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x14ac:dyDescent="0.2">
      <c r="A251" s="87"/>
      <c r="B251" s="87"/>
      <c r="C251" s="87"/>
      <c r="D251" s="87"/>
      <c r="E251" s="103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x14ac:dyDescent="0.2">
      <c r="A252" s="87"/>
      <c r="B252" s="87"/>
      <c r="C252" s="87"/>
      <c r="D252" s="87"/>
      <c r="E252" s="103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x14ac:dyDescent="0.2">
      <c r="A253" s="87"/>
      <c r="B253" s="87"/>
      <c r="C253" s="87"/>
      <c r="D253" s="87"/>
      <c r="E253" s="103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x14ac:dyDescent="0.2">
      <c r="A254" s="87"/>
      <c r="B254" s="87"/>
      <c r="C254" s="87"/>
      <c r="D254" s="87"/>
      <c r="E254" s="103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x14ac:dyDescent="0.2">
      <c r="A255" s="87"/>
      <c r="B255" s="87"/>
      <c r="C255" s="87"/>
      <c r="D255" s="87"/>
      <c r="E255" s="103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x14ac:dyDescent="0.2">
      <c r="A256" s="87"/>
      <c r="B256" s="87"/>
      <c r="C256" s="87"/>
      <c r="D256" s="87"/>
      <c r="E256" s="103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x14ac:dyDescent="0.2">
      <c r="A257" s="87"/>
      <c r="B257" s="87"/>
      <c r="C257" s="87"/>
      <c r="D257" s="87"/>
      <c r="E257" s="103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x14ac:dyDescent="0.2">
      <c r="A258" s="87"/>
      <c r="B258" s="87"/>
      <c r="C258" s="87"/>
      <c r="D258" s="87"/>
      <c r="E258" s="103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x14ac:dyDescent="0.2">
      <c r="A259" s="87"/>
      <c r="B259" s="87"/>
      <c r="C259" s="87"/>
      <c r="D259" s="87"/>
      <c r="E259" s="103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x14ac:dyDescent="0.2">
      <c r="A260" s="87"/>
      <c r="B260" s="87"/>
      <c r="C260" s="87"/>
      <c r="D260" s="87"/>
      <c r="E260" s="103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x14ac:dyDescent="0.2">
      <c r="A261" s="87"/>
      <c r="B261" s="87"/>
      <c r="C261" s="87"/>
      <c r="D261" s="87"/>
      <c r="E261" s="103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x14ac:dyDescent="0.2">
      <c r="A262" s="87"/>
      <c r="B262" s="87"/>
      <c r="C262" s="87"/>
      <c r="D262" s="87"/>
      <c r="E262" s="103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x14ac:dyDescent="0.2">
      <c r="A263" s="87"/>
      <c r="B263" s="87"/>
      <c r="C263" s="87"/>
      <c r="D263" s="87"/>
      <c r="E263" s="103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x14ac:dyDescent="0.2">
      <c r="A264" s="87"/>
      <c r="B264" s="87"/>
      <c r="C264" s="87"/>
      <c r="D264" s="87"/>
      <c r="E264" s="103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x14ac:dyDescent="0.2">
      <c r="A265" s="87"/>
      <c r="B265" s="87"/>
      <c r="C265" s="87"/>
      <c r="D265" s="87"/>
      <c r="E265" s="103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x14ac:dyDescent="0.2">
      <c r="A266" s="87"/>
      <c r="B266" s="87"/>
      <c r="C266" s="87"/>
      <c r="D266" s="87"/>
      <c r="E266" s="103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x14ac:dyDescent="0.2">
      <c r="A267" s="87"/>
      <c r="B267" s="87"/>
      <c r="C267" s="87"/>
      <c r="D267" s="87"/>
      <c r="E267" s="103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x14ac:dyDescent="0.2">
      <c r="A268" s="87"/>
      <c r="B268" s="87"/>
      <c r="C268" s="87"/>
      <c r="D268" s="87"/>
      <c r="E268" s="103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x14ac:dyDescent="0.2">
      <c r="A269" s="87"/>
      <c r="B269" s="87"/>
      <c r="C269" s="87"/>
      <c r="D269" s="87"/>
      <c r="E269" s="103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x14ac:dyDescent="0.2">
      <c r="A270" s="87"/>
      <c r="B270" s="87"/>
      <c r="C270" s="87"/>
      <c r="D270" s="87"/>
      <c r="E270" s="103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x14ac:dyDescent="0.2">
      <c r="A271" s="87"/>
      <c r="B271" s="87"/>
      <c r="C271" s="87"/>
      <c r="D271" s="87"/>
      <c r="E271" s="103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x14ac:dyDescent="0.2">
      <c r="A272" s="87"/>
      <c r="B272" s="87"/>
      <c r="C272" s="87"/>
      <c r="D272" s="87"/>
      <c r="E272" s="103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x14ac:dyDescent="0.2">
      <c r="A273" s="87"/>
      <c r="B273" s="87"/>
      <c r="C273" s="87"/>
      <c r="D273" s="87"/>
      <c r="E273" s="103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x14ac:dyDescent="0.2">
      <c r="A274" s="87"/>
      <c r="B274" s="87"/>
      <c r="C274" s="87"/>
      <c r="D274" s="87"/>
      <c r="E274" s="103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x14ac:dyDescent="0.2">
      <c r="A275" s="87"/>
      <c r="B275" s="87"/>
      <c r="C275" s="87"/>
      <c r="D275" s="87"/>
      <c r="E275" s="103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x14ac:dyDescent="0.2">
      <c r="A276" s="87"/>
      <c r="B276" s="87"/>
      <c r="C276" s="87"/>
      <c r="D276" s="87"/>
      <c r="E276" s="103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x14ac:dyDescent="0.2">
      <c r="A277" s="87"/>
      <c r="B277" s="87"/>
      <c r="C277" s="87"/>
      <c r="D277" s="87"/>
      <c r="E277" s="103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x14ac:dyDescent="0.2">
      <c r="A278" s="87"/>
      <c r="B278" s="87"/>
      <c r="C278" s="87"/>
      <c r="D278" s="87"/>
      <c r="E278" s="103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x14ac:dyDescent="0.2">
      <c r="A279" s="87"/>
      <c r="B279" s="87"/>
      <c r="C279" s="87"/>
      <c r="D279" s="87"/>
      <c r="E279" s="103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x14ac:dyDescent="0.2">
      <c r="A280" s="87"/>
      <c r="B280" s="87"/>
      <c r="C280" s="87"/>
      <c r="D280" s="87"/>
      <c r="E280" s="103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x14ac:dyDescent="0.2">
      <c r="A281" s="87"/>
      <c r="B281" s="87"/>
      <c r="C281" s="87"/>
      <c r="D281" s="87"/>
      <c r="E281" s="103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x14ac:dyDescent="0.2">
      <c r="A282" s="87"/>
      <c r="B282" s="87"/>
      <c r="C282" s="87"/>
      <c r="D282" s="87"/>
      <c r="E282" s="103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x14ac:dyDescent="0.2">
      <c r="A283" s="87"/>
      <c r="B283" s="87"/>
      <c r="C283" s="87"/>
      <c r="D283" s="87"/>
      <c r="E283" s="103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x14ac:dyDescent="0.2">
      <c r="A284" s="87"/>
      <c r="B284" s="87"/>
      <c r="C284" s="87"/>
      <c r="D284" s="87"/>
      <c r="E284" s="103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x14ac:dyDescent="0.2">
      <c r="A285" s="87"/>
      <c r="B285" s="87"/>
      <c r="C285" s="87"/>
      <c r="D285" s="87"/>
      <c r="E285" s="103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x14ac:dyDescent="0.2">
      <c r="A286" s="87"/>
      <c r="B286" s="87"/>
      <c r="C286" s="87"/>
      <c r="D286" s="87"/>
      <c r="E286" s="103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x14ac:dyDescent="0.2">
      <c r="A287" s="87"/>
      <c r="B287" s="87"/>
      <c r="C287" s="87"/>
      <c r="D287" s="87"/>
      <c r="E287" s="103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x14ac:dyDescent="0.2">
      <c r="A288" s="87"/>
      <c r="B288" s="87"/>
      <c r="C288" s="87"/>
      <c r="D288" s="87"/>
      <c r="E288" s="103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x14ac:dyDescent="0.2">
      <c r="A289" s="87"/>
      <c r="B289" s="87"/>
      <c r="C289" s="87"/>
      <c r="D289" s="87"/>
      <c r="E289" s="103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x14ac:dyDescent="0.2">
      <c r="A290" s="87"/>
      <c r="B290" s="87"/>
      <c r="C290" s="87"/>
      <c r="D290" s="87"/>
      <c r="E290" s="103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x14ac:dyDescent="0.2">
      <c r="A291" s="87"/>
      <c r="B291" s="87"/>
      <c r="C291" s="87"/>
      <c r="D291" s="87"/>
      <c r="E291" s="103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x14ac:dyDescent="0.2">
      <c r="A292" s="87"/>
      <c r="B292" s="87"/>
      <c r="C292" s="87"/>
      <c r="D292" s="87"/>
      <c r="E292" s="103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x14ac:dyDescent="0.2">
      <c r="A293" s="87"/>
      <c r="B293" s="87"/>
      <c r="C293" s="87"/>
      <c r="D293" s="87"/>
      <c r="E293" s="103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x14ac:dyDescent="0.2">
      <c r="A294" s="87"/>
      <c r="B294" s="87"/>
      <c r="C294" s="87"/>
      <c r="D294" s="87"/>
      <c r="E294" s="103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x14ac:dyDescent="0.2">
      <c r="A295" s="87"/>
      <c r="B295" s="87"/>
      <c r="C295" s="87"/>
      <c r="D295" s="87"/>
      <c r="E295" s="103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x14ac:dyDescent="0.2">
      <c r="A296" s="87"/>
      <c r="B296" s="87"/>
      <c r="C296" s="87"/>
      <c r="D296" s="87"/>
      <c r="E296" s="103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x14ac:dyDescent="0.2">
      <c r="A297" s="87"/>
      <c r="B297" s="87"/>
      <c r="C297" s="87"/>
      <c r="D297" s="87"/>
      <c r="E297" s="103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x14ac:dyDescent="0.2">
      <c r="A298" s="87"/>
      <c r="B298" s="87"/>
      <c r="C298" s="87"/>
      <c r="D298" s="87"/>
      <c r="E298" s="103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x14ac:dyDescent="0.2">
      <c r="A299" s="87"/>
      <c r="B299" s="87"/>
      <c r="C299" s="87"/>
      <c r="D299" s="87"/>
      <c r="E299" s="103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x14ac:dyDescent="0.2">
      <c r="A300" s="87"/>
      <c r="B300" s="87"/>
      <c r="C300" s="87"/>
      <c r="D300" s="87"/>
      <c r="E300" s="103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x14ac:dyDescent="0.2">
      <c r="A301" s="87"/>
      <c r="B301" s="87"/>
      <c r="C301" s="87"/>
      <c r="D301" s="87"/>
      <c r="E301" s="103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x14ac:dyDescent="0.2">
      <c r="A302" s="87"/>
      <c r="B302" s="87"/>
      <c r="C302" s="87"/>
      <c r="D302" s="87"/>
      <c r="E302" s="103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x14ac:dyDescent="0.2">
      <c r="A303" s="87"/>
      <c r="B303" s="87"/>
      <c r="C303" s="87"/>
      <c r="D303" s="87"/>
      <c r="E303" s="103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x14ac:dyDescent="0.2">
      <c r="A304" s="87"/>
      <c r="B304" s="87"/>
      <c r="C304" s="87"/>
      <c r="D304" s="87"/>
      <c r="E304" s="103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x14ac:dyDescent="0.2">
      <c r="A305" s="87"/>
      <c r="B305" s="87"/>
      <c r="C305" s="87"/>
      <c r="D305" s="87"/>
      <c r="E305" s="103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x14ac:dyDescent="0.2">
      <c r="A306" s="87"/>
      <c r="B306" s="87"/>
      <c r="C306" s="87"/>
      <c r="D306" s="87"/>
      <c r="E306" s="103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x14ac:dyDescent="0.2">
      <c r="A307" s="87"/>
      <c r="B307" s="87"/>
      <c r="C307" s="87"/>
      <c r="D307" s="87"/>
      <c r="E307" s="103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x14ac:dyDescent="0.2">
      <c r="A308" s="87"/>
      <c r="B308" s="87"/>
      <c r="C308" s="87"/>
      <c r="D308" s="87"/>
      <c r="E308" s="103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x14ac:dyDescent="0.2">
      <c r="A309" s="87"/>
      <c r="B309" s="87"/>
      <c r="C309" s="87"/>
      <c r="D309" s="87"/>
      <c r="E309" s="103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x14ac:dyDescent="0.2">
      <c r="A310" s="87"/>
      <c r="B310" s="87"/>
      <c r="C310" s="87"/>
      <c r="D310" s="87"/>
      <c r="E310" s="103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x14ac:dyDescent="0.2">
      <c r="A311" s="87"/>
      <c r="B311" s="87"/>
      <c r="C311" s="87"/>
      <c r="D311" s="87"/>
      <c r="E311" s="103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x14ac:dyDescent="0.2">
      <c r="A312" s="87"/>
      <c r="B312" s="87"/>
      <c r="C312" s="87"/>
      <c r="D312" s="87"/>
      <c r="E312" s="103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x14ac:dyDescent="0.2">
      <c r="A313" s="87"/>
      <c r="B313" s="87"/>
      <c r="C313" s="87"/>
      <c r="D313" s="87"/>
      <c r="E313" s="103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x14ac:dyDescent="0.2">
      <c r="A314" s="87"/>
      <c r="B314" s="87"/>
      <c r="C314" s="87"/>
      <c r="D314" s="87"/>
      <c r="E314" s="103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x14ac:dyDescent="0.2">
      <c r="A315" s="87"/>
      <c r="B315" s="87"/>
      <c r="C315" s="87"/>
      <c r="D315" s="87"/>
      <c r="E315" s="103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x14ac:dyDescent="0.2">
      <c r="A316" s="87"/>
      <c r="B316" s="87"/>
      <c r="C316" s="87"/>
      <c r="D316" s="87"/>
      <c r="E316" s="103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x14ac:dyDescent="0.2">
      <c r="A317" s="87"/>
      <c r="B317" s="87"/>
      <c r="C317" s="87"/>
      <c r="D317" s="87"/>
      <c r="E317" s="103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x14ac:dyDescent="0.2">
      <c r="A318" s="87"/>
      <c r="B318" s="87"/>
      <c r="C318" s="87"/>
      <c r="D318" s="87"/>
      <c r="E318" s="103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x14ac:dyDescent="0.2">
      <c r="A319" s="87"/>
      <c r="B319" s="87"/>
      <c r="C319" s="87"/>
      <c r="D319" s="87"/>
      <c r="E319" s="103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x14ac:dyDescent="0.2">
      <c r="A320" s="87"/>
      <c r="B320" s="87"/>
      <c r="C320" s="87"/>
      <c r="D320" s="87"/>
      <c r="E320" s="103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x14ac:dyDescent="0.2">
      <c r="A321" s="87"/>
      <c r="B321" s="87"/>
      <c r="C321" s="87"/>
      <c r="D321" s="87"/>
      <c r="E321" s="103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x14ac:dyDescent="0.2">
      <c r="A322" s="87"/>
      <c r="B322" s="87"/>
      <c r="C322" s="87"/>
      <c r="D322" s="87"/>
      <c r="E322" s="103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x14ac:dyDescent="0.2">
      <c r="A323" s="87"/>
      <c r="B323" s="87"/>
      <c r="C323" s="87"/>
      <c r="D323" s="87"/>
      <c r="E323" s="103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x14ac:dyDescent="0.2">
      <c r="A324" s="87"/>
      <c r="B324" s="87"/>
      <c r="C324" s="87"/>
      <c r="D324" s="87"/>
      <c r="E324" s="103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x14ac:dyDescent="0.2">
      <c r="A325" s="87"/>
      <c r="B325" s="87"/>
      <c r="C325" s="87"/>
      <c r="D325" s="87"/>
      <c r="E325" s="103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x14ac:dyDescent="0.2">
      <c r="A326" s="87"/>
      <c r="B326" s="87"/>
      <c r="C326" s="87"/>
      <c r="D326" s="87"/>
      <c r="E326" s="103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x14ac:dyDescent="0.2">
      <c r="A327" s="87"/>
      <c r="B327" s="87"/>
      <c r="C327" s="87"/>
      <c r="D327" s="87"/>
      <c r="E327" s="103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x14ac:dyDescent="0.2">
      <c r="A328" s="87"/>
      <c r="B328" s="87"/>
      <c r="C328" s="87"/>
      <c r="D328" s="87"/>
      <c r="E328" s="103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x14ac:dyDescent="0.2">
      <c r="A329" s="87"/>
      <c r="B329" s="87"/>
      <c r="C329" s="87"/>
      <c r="D329" s="87"/>
      <c r="E329" s="103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x14ac:dyDescent="0.2">
      <c r="A330" s="87"/>
      <c r="B330" s="87"/>
      <c r="C330" s="87"/>
      <c r="D330" s="87"/>
      <c r="E330" s="103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x14ac:dyDescent="0.2">
      <c r="A331" s="87"/>
      <c r="B331" s="87"/>
      <c r="C331" s="87"/>
      <c r="D331" s="87"/>
      <c r="E331" s="103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x14ac:dyDescent="0.2">
      <c r="A332" s="87"/>
      <c r="B332" s="87"/>
      <c r="C332" s="87"/>
      <c r="D332" s="87"/>
      <c r="E332" s="103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x14ac:dyDescent="0.2">
      <c r="A333" s="87"/>
      <c r="B333" s="87"/>
      <c r="C333" s="87"/>
      <c r="D333" s="87"/>
      <c r="E333" s="103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x14ac:dyDescent="0.2">
      <c r="A334" s="87"/>
      <c r="B334" s="87"/>
      <c r="C334" s="87"/>
      <c r="D334" s="87"/>
      <c r="E334" s="103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x14ac:dyDescent="0.2">
      <c r="A335" s="87"/>
      <c r="B335" s="87"/>
      <c r="C335" s="87"/>
      <c r="D335" s="87"/>
      <c r="E335" s="103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x14ac:dyDescent="0.2">
      <c r="A336" s="87"/>
      <c r="B336" s="87"/>
      <c r="C336" s="87"/>
      <c r="D336" s="87"/>
      <c r="E336" s="103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x14ac:dyDescent="0.2">
      <c r="A337" s="87"/>
      <c r="B337" s="87"/>
      <c r="C337" s="87"/>
      <c r="D337" s="87"/>
      <c r="E337" s="103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x14ac:dyDescent="0.2">
      <c r="A338" s="87"/>
      <c r="B338" s="87"/>
      <c r="C338" s="87"/>
      <c r="D338" s="87"/>
      <c r="E338" s="103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x14ac:dyDescent="0.2">
      <c r="A339" s="87"/>
      <c r="B339" s="87"/>
      <c r="C339" s="87"/>
      <c r="D339" s="87"/>
      <c r="E339" s="103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x14ac:dyDescent="0.2">
      <c r="A340" s="87"/>
      <c r="B340" s="87"/>
      <c r="C340" s="87"/>
      <c r="D340" s="87"/>
      <c r="E340" s="103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x14ac:dyDescent="0.2">
      <c r="A341" s="87"/>
      <c r="B341" s="87"/>
      <c r="C341" s="87"/>
      <c r="D341" s="87"/>
      <c r="E341" s="103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x14ac:dyDescent="0.2">
      <c r="A342" s="87"/>
      <c r="B342" s="87"/>
      <c r="C342" s="87"/>
      <c r="D342" s="87"/>
      <c r="E342" s="103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x14ac:dyDescent="0.2">
      <c r="A343" s="87"/>
      <c r="B343" s="87"/>
      <c r="C343" s="87"/>
      <c r="D343" s="87"/>
      <c r="E343" s="103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x14ac:dyDescent="0.2">
      <c r="A344" s="87"/>
      <c r="B344" s="87"/>
      <c r="C344" s="87"/>
      <c r="D344" s="87"/>
      <c r="E344" s="103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x14ac:dyDescent="0.2">
      <c r="A345" s="87"/>
      <c r="B345" s="87"/>
      <c r="C345" s="87"/>
      <c r="D345" s="87"/>
      <c r="E345" s="103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x14ac:dyDescent="0.2">
      <c r="A346" s="87"/>
      <c r="B346" s="87"/>
      <c r="C346" s="87"/>
      <c r="D346" s="87"/>
      <c r="E346" s="103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x14ac:dyDescent="0.2">
      <c r="A347" s="87"/>
      <c r="B347" s="87"/>
      <c r="C347" s="87"/>
      <c r="D347" s="87"/>
      <c r="E347" s="103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x14ac:dyDescent="0.2">
      <c r="A348" s="87"/>
      <c r="B348" s="87"/>
      <c r="C348" s="87"/>
      <c r="D348" s="87"/>
      <c r="E348" s="103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x14ac:dyDescent="0.2">
      <c r="A349" s="87"/>
      <c r="B349" s="87"/>
      <c r="C349" s="87"/>
      <c r="D349" s="87"/>
      <c r="E349" s="103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x14ac:dyDescent="0.2">
      <c r="A350" s="87"/>
      <c r="B350" s="87"/>
      <c r="C350" s="87"/>
      <c r="D350" s="87"/>
      <c r="E350" s="103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x14ac:dyDescent="0.2">
      <c r="A351" s="87"/>
      <c r="B351" s="87"/>
      <c r="C351" s="87"/>
      <c r="D351" s="87"/>
      <c r="E351" s="103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x14ac:dyDescent="0.2">
      <c r="A352" s="87"/>
      <c r="B352" s="87"/>
      <c r="C352" s="87"/>
      <c r="D352" s="87"/>
      <c r="E352" s="103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x14ac:dyDescent="0.2">
      <c r="A353" s="87"/>
      <c r="B353" s="87"/>
      <c r="C353" s="87"/>
      <c r="D353" s="87"/>
      <c r="E353" s="103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x14ac:dyDescent="0.2">
      <c r="A354" s="87"/>
      <c r="B354" s="87"/>
      <c r="C354" s="87"/>
      <c r="D354" s="87"/>
      <c r="E354" s="103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x14ac:dyDescent="0.2">
      <c r="A355" s="87"/>
      <c r="B355" s="87"/>
      <c r="C355" s="87"/>
      <c r="D355" s="87"/>
      <c r="E355" s="103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x14ac:dyDescent="0.2">
      <c r="A356" s="87"/>
      <c r="B356" s="87"/>
      <c r="C356" s="87"/>
      <c r="D356" s="87"/>
      <c r="E356" s="103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x14ac:dyDescent="0.2">
      <c r="A357" s="87"/>
      <c r="B357" s="87"/>
      <c r="C357" s="87"/>
      <c r="D357" s="87"/>
      <c r="E357" s="103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x14ac:dyDescent="0.2">
      <c r="A358" s="87"/>
      <c r="B358" s="87"/>
      <c r="C358" s="87"/>
      <c r="D358" s="87"/>
      <c r="E358" s="103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x14ac:dyDescent="0.2">
      <c r="A359" s="87"/>
      <c r="B359" s="87"/>
      <c r="C359" s="87"/>
      <c r="D359" s="87"/>
      <c r="E359" s="103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x14ac:dyDescent="0.2">
      <c r="A360" s="87"/>
      <c r="B360" s="87"/>
      <c r="C360" s="87"/>
      <c r="D360" s="87"/>
      <c r="E360" s="103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x14ac:dyDescent="0.2">
      <c r="A361" s="87"/>
      <c r="B361" s="87"/>
      <c r="C361" s="87"/>
      <c r="D361" s="87"/>
      <c r="E361" s="103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x14ac:dyDescent="0.2">
      <c r="A362" s="87"/>
      <c r="B362" s="87"/>
      <c r="C362" s="87"/>
      <c r="D362" s="87"/>
      <c r="E362" s="103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x14ac:dyDescent="0.2">
      <c r="A363" s="87"/>
      <c r="B363" s="87"/>
      <c r="C363" s="87"/>
      <c r="D363" s="87"/>
      <c r="E363" s="103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x14ac:dyDescent="0.2">
      <c r="A364" s="87"/>
      <c r="B364" s="87"/>
      <c r="C364" s="87"/>
      <c r="D364" s="87"/>
      <c r="E364" s="103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x14ac:dyDescent="0.2">
      <c r="A365" s="87"/>
      <c r="B365" s="87"/>
      <c r="C365" s="87"/>
      <c r="D365" s="87"/>
      <c r="E365" s="103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x14ac:dyDescent="0.2">
      <c r="A366" s="87"/>
      <c r="B366" s="87"/>
      <c r="C366" s="87"/>
      <c r="D366" s="87"/>
      <c r="E366" s="103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x14ac:dyDescent="0.2">
      <c r="A367" s="87"/>
      <c r="B367" s="87"/>
      <c r="C367" s="87"/>
      <c r="D367" s="87"/>
      <c r="E367" s="103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x14ac:dyDescent="0.2">
      <c r="A368" s="87"/>
      <c r="B368" s="87"/>
      <c r="C368" s="87"/>
      <c r="D368" s="87"/>
      <c r="E368" s="103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x14ac:dyDescent="0.2">
      <c r="A369" s="87"/>
      <c r="B369" s="87"/>
      <c r="C369" s="87"/>
      <c r="D369" s="87"/>
      <c r="E369" s="103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x14ac:dyDescent="0.2">
      <c r="A370" s="87"/>
      <c r="B370" s="87"/>
      <c r="C370" s="87"/>
      <c r="D370" s="87"/>
      <c r="E370" s="103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x14ac:dyDescent="0.2">
      <c r="A371" s="87"/>
      <c r="B371" s="87"/>
      <c r="C371" s="87"/>
      <c r="D371" s="87"/>
      <c r="E371" s="103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x14ac:dyDescent="0.2">
      <c r="A372" s="87"/>
      <c r="B372" s="87"/>
      <c r="C372" s="87"/>
      <c r="D372" s="87"/>
      <c r="E372" s="103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x14ac:dyDescent="0.2">
      <c r="A373" s="87"/>
      <c r="B373" s="87"/>
      <c r="C373" s="87"/>
      <c r="D373" s="87"/>
      <c r="E373" s="103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x14ac:dyDescent="0.2">
      <c r="A374" s="87"/>
      <c r="B374" s="87"/>
      <c r="C374" s="87"/>
      <c r="D374" s="87"/>
      <c r="E374" s="103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x14ac:dyDescent="0.2">
      <c r="A375" s="87"/>
      <c r="B375" s="87"/>
      <c r="C375" s="87"/>
      <c r="D375" s="87"/>
      <c r="E375" s="103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x14ac:dyDescent="0.2">
      <c r="A376" s="87"/>
      <c r="B376" s="87"/>
      <c r="C376" s="87"/>
      <c r="D376" s="87"/>
      <c r="E376" s="103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x14ac:dyDescent="0.2">
      <c r="A377" s="87"/>
      <c r="B377" s="87"/>
      <c r="C377" s="87"/>
      <c r="D377" s="87"/>
      <c r="E377" s="103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x14ac:dyDescent="0.2">
      <c r="A378" s="87"/>
      <c r="B378" s="87"/>
      <c r="C378" s="87"/>
      <c r="D378" s="87"/>
      <c r="E378" s="103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x14ac:dyDescent="0.2">
      <c r="A379" s="87"/>
      <c r="B379" s="87"/>
      <c r="C379" s="87"/>
      <c r="D379" s="87"/>
      <c r="E379" s="103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x14ac:dyDescent="0.2">
      <c r="A380" s="87"/>
      <c r="B380" s="87"/>
      <c r="C380" s="87"/>
      <c r="D380" s="87"/>
      <c r="E380" s="103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x14ac:dyDescent="0.2">
      <c r="A381" s="87"/>
      <c r="B381" s="87"/>
      <c r="C381" s="87"/>
      <c r="D381" s="87"/>
      <c r="E381" s="103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x14ac:dyDescent="0.2">
      <c r="A382" s="87"/>
      <c r="B382" s="87"/>
      <c r="C382" s="87"/>
      <c r="D382" s="87"/>
      <c r="E382" s="103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x14ac:dyDescent="0.2">
      <c r="A383" s="87"/>
      <c r="B383" s="87"/>
      <c r="C383" s="87"/>
      <c r="D383" s="87"/>
      <c r="E383" s="103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x14ac:dyDescent="0.2">
      <c r="A384" s="87"/>
      <c r="B384" s="87"/>
      <c r="C384" s="87"/>
      <c r="D384" s="87"/>
      <c r="E384" s="103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x14ac:dyDescent="0.2">
      <c r="A385" s="87"/>
      <c r="B385" s="87"/>
      <c r="C385" s="87"/>
      <c r="D385" s="87"/>
      <c r="E385" s="103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x14ac:dyDescent="0.2">
      <c r="A386" s="87"/>
      <c r="B386" s="87"/>
      <c r="C386" s="87"/>
      <c r="D386" s="87"/>
      <c r="E386" s="103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x14ac:dyDescent="0.2">
      <c r="A387" s="87"/>
      <c r="B387" s="87"/>
      <c r="C387" s="87"/>
      <c r="D387" s="87"/>
      <c r="E387" s="103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x14ac:dyDescent="0.2">
      <c r="A388" s="87"/>
      <c r="B388" s="87"/>
      <c r="C388" s="87"/>
      <c r="D388" s="87"/>
      <c r="E388" s="103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x14ac:dyDescent="0.2">
      <c r="A389" s="87"/>
      <c r="B389" s="87"/>
      <c r="C389" s="87"/>
      <c r="D389" s="87"/>
      <c r="E389" s="103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x14ac:dyDescent="0.2">
      <c r="A390" s="87"/>
      <c r="B390" s="87"/>
      <c r="C390" s="87"/>
      <c r="D390" s="87"/>
      <c r="E390" s="103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x14ac:dyDescent="0.2">
      <c r="A391" s="87"/>
      <c r="B391" s="87"/>
      <c r="C391" s="87"/>
      <c r="D391" s="87"/>
      <c r="E391" s="103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x14ac:dyDescent="0.2">
      <c r="A392" s="87"/>
      <c r="B392" s="87"/>
      <c r="C392" s="87"/>
      <c r="D392" s="87"/>
      <c r="E392" s="103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x14ac:dyDescent="0.2">
      <c r="A393" s="87"/>
      <c r="B393" s="87"/>
      <c r="C393" s="87"/>
      <c r="D393" s="87"/>
      <c r="E393" s="103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x14ac:dyDescent="0.2">
      <c r="A394" s="87"/>
      <c r="B394" s="87"/>
      <c r="C394" s="87"/>
      <c r="D394" s="87"/>
      <c r="E394" s="103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x14ac:dyDescent="0.2">
      <c r="A395" s="87"/>
      <c r="B395" s="87"/>
      <c r="C395" s="87"/>
      <c r="D395" s="87"/>
      <c r="E395" s="103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x14ac:dyDescent="0.2">
      <c r="A396" s="87"/>
      <c r="B396" s="87"/>
      <c r="C396" s="87"/>
      <c r="D396" s="87"/>
      <c r="E396" s="103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x14ac:dyDescent="0.2">
      <c r="A397" s="87"/>
      <c r="B397" s="87"/>
      <c r="C397" s="87"/>
      <c r="D397" s="87"/>
      <c r="E397" s="103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x14ac:dyDescent="0.2">
      <c r="A398" s="87"/>
      <c r="B398" s="87"/>
      <c r="C398" s="87"/>
      <c r="D398" s="87"/>
      <c r="E398" s="103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x14ac:dyDescent="0.2">
      <c r="A399" s="87"/>
      <c r="B399" s="87"/>
      <c r="C399" s="87"/>
      <c r="D399" s="87"/>
      <c r="E399" s="103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x14ac:dyDescent="0.2">
      <c r="A400" s="87"/>
      <c r="B400" s="87"/>
      <c r="C400" s="87"/>
      <c r="D400" s="87"/>
      <c r="E400" s="103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x14ac:dyDescent="0.2">
      <c r="A401" s="87"/>
      <c r="B401" s="87"/>
      <c r="C401" s="87"/>
      <c r="D401" s="87"/>
      <c r="E401" s="103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x14ac:dyDescent="0.2">
      <c r="A402" s="87"/>
      <c r="B402" s="87"/>
      <c r="C402" s="87"/>
      <c r="D402" s="87"/>
      <c r="E402" s="103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x14ac:dyDescent="0.2">
      <c r="A403" s="87"/>
      <c r="B403" s="87"/>
      <c r="C403" s="87"/>
      <c r="D403" s="87"/>
      <c r="E403" s="103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x14ac:dyDescent="0.2">
      <c r="A404" s="87"/>
      <c r="B404" s="87"/>
      <c r="C404" s="87"/>
      <c r="D404" s="87"/>
      <c r="E404" s="103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x14ac:dyDescent="0.2">
      <c r="A405" s="87"/>
      <c r="B405" s="87"/>
      <c r="C405" s="87"/>
      <c r="D405" s="87"/>
      <c r="E405" s="103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x14ac:dyDescent="0.2">
      <c r="A406" s="87"/>
      <c r="B406" s="87"/>
      <c r="C406" s="87"/>
      <c r="D406" s="87"/>
      <c r="E406" s="103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x14ac:dyDescent="0.2">
      <c r="A407" s="87"/>
      <c r="B407" s="87"/>
      <c r="C407" s="87"/>
      <c r="D407" s="87"/>
      <c r="E407" s="103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x14ac:dyDescent="0.2">
      <c r="A408" s="87"/>
      <c r="B408" s="87"/>
      <c r="C408" s="87"/>
      <c r="D408" s="87"/>
      <c r="E408" s="103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x14ac:dyDescent="0.2">
      <c r="A409" s="87"/>
      <c r="B409" s="87"/>
      <c r="C409" s="87"/>
      <c r="D409" s="87"/>
      <c r="E409" s="103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x14ac:dyDescent="0.2">
      <c r="A410" s="87"/>
      <c r="B410" s="87"/>
      <c r="C410" s="87"/>
      <c r="D410" s="87"/>
      <c r="E410" s="103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x14ac:dyDescent="0.2">
      <c r="A411" s="87"/>
      <c r="B411" s="87"/>
      <c r="C411" s="87"/>
      <c r="D411" s="87"/>
      <c r="E411" s="103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x14ac:dyDescent="0.2">
      <c r="A412" s="87"/>
      <c r="B412" s="87"/>
      <c r="C412" s="87"/>
      <c r="D412" s="87"/>
      <c r="E412" s="103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x14ac:dyDescent="0.2">
      <c r="A413" s="87"/>
      <c r="B413" s="87"/>
      <c r="C413" s="87"/>
      <c r="D413" s="87"/>
      <c r="E413" s="103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x14ac:dyDescent="0.2">
      <c r="A414" s="87"/>
      <c r="B414" s="87"/>
      <c r="C414" s="87"/>
      <c r="D414" s="87"/>
      <c r="E414" s="103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x14ac:dyDescent="0.2">
      <c r="A415" s="87"/>
      <c r="B415" s="87"/>
      <c r="C415" s="87"/>
      <c r="D415" s="87"/>
      <c r="E415" s="103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x14ac:dyDescent="0.2">
      <c r="A416" s="87"/>
      <c r="B416" s="87"/>
      <c r="C416" s="87"/>
      <c r="D416" s="87"/>
      <c r="E416" s="103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x14ac:dyDescent="0.2">
      <c r="A417" s="87"/>
      <c r="B417" s="87"/>
      <c r="C417" s="87"/>
      <c r="D417" s="87"/>
      <c r="E417" s="103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x14ac:dyDescent="0.2">
      <c r="A418" s="87"/>
      <c r="B418" s="87"/>
      <c r="C418" s="87"/>
      <c r="D418" s="87"/>
      <c r="E418" s="103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x14ac:dyDescent="0.2">
      <c r="A419" s="87"/>
      <c r="B419" s="87"/>
      <c r="C419" s="87"/>
      <c r="D419" s="87"/>
      <c r="E419" s="103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x14ac:dyDescent="0.2">
      <c r="A420" s="87"/>
      <c r="B420" s="87"/>
      <c r="C420" s="87"/>
      <c r="D420" s="87"/>
      <c r="E420" s="103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x14ac:dyDescent="0.2">
      <c r="A421" s="87"/>
      <c r="B421" s="87"/>
      <c r="C421" s="87"/>
      <c r="D421" s="87"/>
      <c r="E421" s="103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x14ac:dyDescent="0.2">
      <c r="A422" s="87"/>
      <c r="B422" s="87"/>
      <c r="C422" s="87"/>
      <c r="D422" s="87"/>
      <c r="E422" s="103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x14ac:dyDescent="0.2">
      <c r="A423" s="87"/>
      <c r="B423" s="87"/>
      <c r="C423" s="87"/>
      <c r="D423" s="87"/>
      <c r="E423" s="103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x14ac:dyDescent="0.2">
      <c r="A424" s="87"/>
      <c r="B424" s="87"/>
      <c r="C424" s="87"/>
      <c r="D424" s="87"/>
      <c r="E424" s="103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x14ac:dyDescent="0.2">
      <c r="A425" s="87"/>
      <c r="B425" s="87"/>
      <c r="C425" s="87"/>
      <c r="D425" s="87"/>
      <c r="E425" s="103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x14ac:dyDescent="0.2">
      <c r="A426" s="87"/>
      <c r="B426" s="87"/>
      <c r="C426" s="87"/>
      <c r="D426" s="87"/>
      <c r="E426" s="103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x14ac:dyDescent="0.2">
      <c r="A427" s="87"/>
      <c r="B427" s="87"/>
      <c r="C427" s="87"/>
      <c r="D427" s="87"/>
      <c r="E427" s="103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x14ac:dyDescent="0.2">
      <c r="A428" s="87"/>
      <c r="B428" s="87"/>
      <c r="C428" s="87"/>
      <c r="D428" s="87"/>
      <c r="E428" s="103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x14ac:dyDescent="0.2">
      <c r="A429" s="87"/>
      <c r="B429" s="87"/>
      <c r="C429" s="87"/>
      <c r="D429" s="87"/>
      <c r="E429" s="103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x14ac:dyDescent="0.2">
      <c r="A430" s="87"/>
      <c r="B430" s="87"/>
      <c r="C430" s="87"/>
      <c r="D430" s="87"/>
      <c r="E430" s="103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x14ac:dyDescent="0.2">
      <c r="A431" s="87"/>
      <c r="B431" s="87"/>
      <c r="C431" s="87"/>
      <c r="D431" s="87"/>
      <c r="E431" s="103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x14ac:dyDescent="0.2">
      <c r="A432" s="87"/>
      <c r="B432" s="87"/>
      <c r="C432" s="87"/>
      <c r="D432" s="87"/>
      <c r="E432" s="103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x14ac:dyDescent="0.2">
      <c r="A433" s="87"/>
      <c r="B433" s="87"/>
      <c r="C433" s="87"/>
      <c r="D433" s="87"/>
      <c r="E433" s="103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x14ac:dyDescent="0.2">
      <c r="A434" s="87"/>
      <c r="B434" s="87"/>
      <c r="C434" s="87"/>
      <c r="D434" s="87"/>
      <c r="E434" s="103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x14ac:dyDescent="0.2">
      <c r="A435" s="87"/>
      <c r="B435" s="87"/>
      <c r="C435" s="87"/>
      <c r="D435" s="87"/>
      <c r="E435" s="103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x14ac:dyDescent="0.2">
      <c r="A436" s="87"/>
      <c r="B436" s="87"/>
      <c r="C436" s="87"/>
      <c r="D436" s="87"/>
      <c r="E436" s="103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x14ac:dyDescent="0.2">
      <c r="A437" s="87"/>
      <c r="B437" s="87"/>
      <c r="C437" s="87"/>
      <c r="D437" s="87"/>
      <c r="E437" s="103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x14ac:dyDescent="0.2">
      <c r="A438" s="87"/>
      <c r="B438" s="87"/>
      <c r="C438" s="87"/>
      <c r="D438" s="87"/>
      <c r="E438" s="103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x14ac:dyDescent="0.2">
      <c r="A439" s="87"/>
      <c r="B439" s="87"/>
      <c r="C439" s="87"/>
      <c r="D439" s="87"/>
      <c r="E439" s="103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x14ac:dyDescent="0.2">
      <c r="A440" s="87"/>
      <c r="B440" s="87"/>
      <c r="C440" s="87"/>
      <c r="D440" s="87"/>
      <c r="E440" s="103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x14ac:dyDescent="0.2">
      <c r="A441" s="87"/>
      <c r="B441" s="87"/>
      <c r="C441" s="87"/>
      <c r="D441" s="87"/>
      <c r="E441" s="103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x14ac:dyDescent="0.2">
      <c r="A442" s="87"/>
      <c r="B442" s="87"/>
      <c r="C442" s="87"/>
      <c r="D442" s="87"/>
      <c r="E442" s="103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x14ac:dyDescent="0.2">
      <c r="A443" s="87"/>
      <c r="B443" s="87"/>
      <c r="C443" s="87"/>
      <c r="D443" s="87"/>
      <c r="E443" s="103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x14ac:dyDescent="0.2">
      <c r="A444" s="87"/>
      <c r="B444" s="87"/>
      <c r="C444" s="87"/>
      <c r="D444" s="87"/>
      <c r="E444" s="103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x14ac:dyDescent="0.2">
      <c r="A445" s="87"/>
      <c r="B445" s="87"/>
      <c r="C445" s="87"/>
      <c r="D445" s="87"/>
      <c r="E445" s="103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x14ac:dyDescent="0.2">
      <c r="A446" s="87"/>
      <c r="B446" s="87"/>
      <c r="C446" s="87"/>
      <c r="D446" s="87"/>
      <c r="E446" s="103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x14ac:dyDescent="0.2">
      <c r="A447" s="87"/>
      <c r="B447" s="87"/>
      <c r="C447" s="87"/>
      <c r="D447" s="87"/>
      <c r="E447" s="103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x14ac:dyDescent="0.2">
      <c r="A448" s="87"/>
      <c r="B448" s="87"/>
      <c r="C448" s="87"/>
      <c r="D448" s="87"/>
      <c r="E448" s="103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x14ac:dyDescent="0.2">
      <c r="A449" s="87"/>
      <c r="B449" s="87"/>
      <c r="C449" s="87"/>
      <c r="D449" s="87"/>
      <c r="E449" s="103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x14ac:dyDescent="0.2">
      <c r="A450" s="87"/>
      <c r="B450" s="87"/>
      <c r="C450" s="87"/>
      <c r="D450" s="87"/>
      <c r="E450" s="103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x14ac:dyDescent="0.2">
      <c r="A451" s="87"/>
      <c r="B451" s="87"/>
      <c r="C451" s="87"/>
      <c r="D451" s="87"/>
      <c r="E451" s="103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x14ac:dyDescent="0.2">
      <c r="A452" s="87"/>
      <c r="B452" s="87"/>
      <c r="C452" s="87"/>
      <c r="D452" s="87"/>
      <c r="E452" s="103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x14ac:dyDescent="0.2">
      <c r="A453" s="87"/>
      <c r="B453" s="87"/>
      <c r="C453" s="87"/>
      <c r="D453" s="87"/>
      <c r="E453" s="103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x14ac:dyDescent="0.2">
      <c r="A454" s="87"/>
      <c r="B454" s="87"/>
      <c r="C454" s="87"/>
      <c r="D454" s="87"/>
      <c r="E454" s="103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x14ac:dyDescent="0.2">
      <c r="A455" s="87"/>
      <c r="B455" s="87"/>
      <c r="C455" s="87"/>
      <c r="D455" s="87"/>
      <c r="E455" s="103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x14ac:dyDescent="0.2">
      <c r="A456" s="87"/>
      <c r="B456" s="87"/>
      <c r="C456" s="87"/>
      <c r="D456" s="87"/>
      <c r="E456" s="103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x14ac:dyDescent="0.2">
      <c r="A457" s="87"/>
      <c r="B457" s="87"/>
      <c r="C457" s="87"/>
      <c r="D457" s="87"/>
      <c r="E457" s="103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x14ac:dyDescent="0.2">
      <c r="A458" s="87"/>
      <c r="B458" s="87"/>
      <c r="C458" s="87"/>
      <c r="D458" s="87"/>
      <c r="E458" s="103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x14ac:dyDescent="0.2">
      <c r="A459" s="87"/>
      <c r="B459" s="87"/>
      <c r="C459" s="87"/>
      <c r="D459" s="87"/>
      <c r="E459" s="103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x14ac:dyDescent="0.2">
      <c r="A460" s="87"/>
      <c r="B460" s="87"/>
      <c r="C460" s="87"/>
      <c r="D460" s="87"/>
      <c r="E460" s="103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x14ac:dyDescent="0.2">
      <c r="A461" s="87"/>
      <c r="B461" s="87"/>
      <c r="C461" s="87"/>
      <c r="D461" s="87"/>
      <c r="E461" s="103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x14ac:dyDescent="0.2">
      <c r="A462" s="87"/>
      <c r="B462" s="87"/>
      <c r="C462" s="87"/>
      <c r="D462" s="87"/>
      <c r="E462" s="103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x14ac:dyDescent="0.2">
      <c r="A463" s="87"/>
      <c r="B463" s="87"/>
      <c r="C463" s="87"/>
      <c r="D463" s="87"/>
      <c r="E463" s="103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x14ac:dyDescent="0.2">
      <c r="A464" s="87"/>
      <c r="B464" s="87"/>
      <c r="C464" s="87"/>
      <c r="D464" s="87"/>
      <c r="E464" s="103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x14ac:dyDescent="0.2">
      <c r="A465" s="87"/>
      <c r="B465" s="87"/>
      <c r="C465" s="87"/>
      <c r="D465" s="87"/>
      <c r="E465" s="103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x14ac:dyDescent="0.2">
      <c r="A466" s="87"/>
      <c r="B466" s="87"/>
      <c r="C466" s="87"/>
      <c r="D466" s="87"/>
      <c r="E466" s="103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x14ac:dyDescent="0.2">
      <c r="A467" s="87"/>
      <c r="B467" s="87"/>
      <c r="C467" s="87"/>
      <c r="D467" s="87"/>
      <c r="E467" s="103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x14ac:dyDescent="0.2">
      <c r="A468" s="87"/>
      <c r="B468" s="87"/>
      <c r="C468" s="87"/>
      <c r="D468" s="87"/>
      <c r="E468" s="103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x14ac:dyDescent="0.2">
      <c r="A469" s="87"/>
      <c r="B469" s="87"/>
      <c r="C469" s="87"/>
      <c r="D469" s="87"/>
      <c r="E469" s="103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x14ac:dyDescent="0.2">
      <c r="A470" s="87"/>
      <c r="B470" s="87"/>
      <c r="C470" s="87"/>
      <c r="D470" s="87"/>
      <c r="E470" s="103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x14ac:dyDescent="0.2">
      <c r="A471" s="87"/>
      <c r="B471" s="87"/>
      <c r="C471" s="87"/>
      <c r="D471" s="87"/>
      <c r="E471" s="103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x14ac:dyDescent="0.2">
      <c r="A472" s="87"/>
      <c r="B472" s="87"/>
      <c r="C472" s="87"/>
      <c r="D472" s="87"/>
      <c r="E472" s="103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x14ac:dyDescent="0.2">
      <c r="A473" s="87"/>
      <c r="B473" s="87"/>
      <c r="C473" s="87"/>
      <c r="D473" s="87"/>
      <c r="E473" s="103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x14ac:dyDescent="0.2">
      <c r="A474" s="87"/>
      <c r="B474" s="87"/>
      <c r="C474" s="87"/>
      <c r="D474" s="87"/>
      <c r="E474" s="103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x14ac:dyDescent="0.2">
      <c r="A475" s="87"/>
      <c r="B475" s="87"/>
      <c r="C475" s="87"/>
      <c r="D475" s="87"/>
      <c r="E475" s="103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x14ac:dyDescent="0.2">
      <c r="A476" s="87"/>
      <c r="B476" s="87"/>
      <c r="C476" s="87"/>
      <c r="D476" s="87"/>
      <c r="E476" s="103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x14ac:dyDescent="0.2">
      <c r="A477" s="87"/>
      <c r="B477" s="87"/>
      <c r="C477" s="87"/>
      <c r="D477" s="87"/>
      <c r="E477" s="103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x14ac:dyDescent="0.2">
      <c r="A478" s="87"/>
      <c r="B478" s="87"/>
      <c r="C478" s="87"/>
      <c r="D478" s="87"/>
      <c r="E478" s="103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x14ac:dyDescent="0.2">
      <c r="A479" s="87"/>
      <c r="B479" s="87"/>
      <c r="C479" s="87"/>
      <c r="D479" s="87"/>
      <c r="E479" s="103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x14ac:dyDescent="0.2">
      <c r="A480" s="87"/>
      <c r="B480" s="87"/>
      <c r="C480" s="87"/>
      <c r="D480" s="87"/>
      <c r="E480" s="103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x14ac:dyDescent="0.2">
      <c r="A481" s="87"/>
      <c r="B481" s="87"/>
      <c r="C481" s="87"/>
      <c r="D481" s="87"/>
      <c r="E481" s="103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x14ac:dyDescent="0.2">
      <c r="A482" s="87"/>
      <c r="B482" s="87"/>
      <c r="C482" s="87"/>
      <c r="D482" s="87"/>
      <c r="E482" s="103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x14ac:dyDescent="0.2">
      <c r="A483" s="87"/>
      <c r="B483" s="87"/>
      <c r="C483" s="87"/>
      <c r="D483" s="87"/>
      <c r="E483" s="103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x14ac:dyDescent="0.2">
      <c r="A484" s="87"/>
      <c r="B484" s="87"/>
      <c r="C484" s="87"/>
      <c r="D484" s="87"/>
      <c r="E484" s="103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x14ac:dyDescent="0.2">
      <c r="A485" s="87"/>
      <c r="B485" s="87"/>
      <c r="C485" s="87"/>
      <c r="D485" s="87"/>
      <c r="E485" s="103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x14ac:dyDescent="0.2">
      <c r="A486" s="87"/>
      <c r="B486" s="87"/>
      <c r="C486" s="87"/>
      <c r="D486" s="87"/>
      <c r="E486" s="103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x14ac:dyDescent="0.2">
      <c r="A487" s="87"/>
      <c r="B487" s="87"/>
      <c r="C487" s="87"/>
      <c r="D487" s="87"/>
      <c r="E487" s="103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x14ac:dyDescent="0.2">
      <c r="A488" s="87"/>
      <c r="B488" s="87"/>
      <c r="C488" s="87"/>
      <c r="D488" s="87"/>
      <c r="E488" s="103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x14ac:dyDescent="0.2">
      <c r="A489" s="87"/>
      <c r="B489" s="87"/>
      <c r="C489" s="87"/>
      <c r="D489" s="87"/>
      <c r="E489" s="103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x14ac:dyDescent="0.2">
      <c r="A490" s="87"/>
      <c r="B490" s="87"/>
      <c r="C490" s="87"/>
      <c r="D490" s="87"/>
      <c r="E490" s="103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x14ac:dyDescent="0.2">
      <c r="A491" s="87"/>
      <c r="B491" s="87"/>
      <c r="C491" s="87"/>
      <c r="D491" s="87"/>
      <c r="E491" s="103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x14ac:dyDescent="0.2">
      <c r="A492" s="87"/>
      <c r="B492" s="87"/>
      <c r="C492" s="87"/>
      <c r="D492" s="87"/>
      <c r="E492" s="103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x14ac:dyDescent="0.2">
      <c r="A493" s="87"/>
      <c r="B493" s="87"/>
      <c r="C493" s="87"/>
      <c r="D493" s="87"/>
      <c r="E493" s="103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x14ac:dyDescent="0.2">
      <c r="A494" s="87"/>
      <c r="B494" s="87"/>
      <c r="C494" s="87"/>
      <c r="D494" s="87"/>
      <c r="E494" s="103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x14ac:dyDescent="0.2">
      <c r="A495" s="87"/>
      <c r="B495" s="87"/>
      <c r="C495" s="87"/>
      <c r="D495" s="87"/>
      <c r="E495" s="103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x14ac:dyDescent="0.2">
      <c r="A496" s="87"/>
      <c r="B496" s="87"/>
      <c r="C496" s="87"/>
      <c r="D496" s="87"/>
      <c r="E496" s="103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x14ac:dyDescent="0.2">
      <c r="A497" s="87"/>
      <c r="B497" s="87"/>
      <c r="C497" s="87"/>
      <c r="D497" s="87"/>
      <c r="E497" s="103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x14ac:dyDescent="0.2">
      <c r="A498" s="87"/>
      <c r="B498" s="87"/>
      <c r="C498" s="87"/>
      <c r="D498" s="87"/>
      <c r="E498" s="103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x14ac:dyDescent="0.2">
      <c r="A499" s="87"/>
      <c r="B499" s="87"/>
      <c r="C499" s="87"/>
      <c r="D499" s="87"/>
      <c r="E499" s="103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x14ac:dyDescent="0.2">
      <c r="A500" s="87"/>
      <c r="B500" s="87"/>
      <c r="C500" s="87"/>
      <c r="D500" s="87"/>
      <c r="E500" s="103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x14ac:dyDescent="0.2">
      <c r="A501" s="87"/>
      <c r="B501" s="87"/>
      <c r="C501" s="87"/>
      <c r="D501" s="87"/>
      <c r="E501" s="103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x14ac:dyDescent="0.2">
      <c r="A502" s="87"/>
      <c r="B502" s="87"/>
      <c r="C502" s="87"/>
      <c r="D502" s="87"/>
      <c r="E502" s="103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x14ac:dyDescent="0.2">
      <c r="A503" s="87"/>
      <c r="B503" s="87"/>
      <c r="C503" s="87"/>
      <c r="D503" s="87"/>
      <c r="E503" s="103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x14ac:dyDescent="0.2">
      <c r="A504" s="87"/>
      <c r="B504" s="87"/>
      <c r="C504" s="87"/>
      <c r="D504" s="87"/>
      <c r="E504" s="103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x14ac:dyDescent="0.2">
      <c r="A505" s="87"/>
      <c r="B505" s="87"/>
      <c r="C505" s="87"/>
      <c r="D505" s="87"/>
      <c r="E505" s="103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x14ac:dyDescent="0.2">
      <c r="A506" s="87"/>
      <c r="B506" s="87"/>
      <c r="C506" s="87"/>
      <c r="D506" s="87"/>
      <c r="E506" s="103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x14ac:dyDescent="0.2">
      <c r="A507" s="87"/>
      <c r="B507" s="87"/>
      <c r="C507" s="87"/>
      <c r="D507" s="87"/>
      <c r="E507" s="103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x14ac:dyDescent="0.2">
      <c r="A508" s="87"/>
      <c r="B508" s="87"/>
      <c r="C508" s="87"/>
      <c r="D508" s="87"/>
      <c r="E508" s="103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x14ac:dyDescent="0.2">
      <c r="A509" s="87"/>
      <c r="B509" s="87"/>
      <c r="C509" s="87"/>
      <c r="D509" s="87"/>
      <c r="E509" s="103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x14ac:dyDescent="0.2">
      <c r="A510" s="87"/>
      <c r="B510" s="87"/>
      <c r="C510" s="87"/>
      <c r="D510" s="87"/>
      <c r="E510" s="103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x14ac:dyDescent="0.2">
      <c r="A511" s="87"/>
      <c r="B511" s="87"/>
      <c r="C511" s="87"/>
      <c r="D511" s="87"/>
      <c r="E511" s="103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x14ac:dyDescent="0.2">
      <c r="A512" s="87"/>
      <c r="B512" s="87"/>
      <c r="C512" s="87"/>
      <c r="D512" s="87"/>
      <c r="E512" s="103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x14ac:dyDescent="0.2">
      <c r="A513" s="87"/>
      <c r="B513" s="87"/>
      <c r="C513" s="87"/>
      <c r="D513" s="87"/>
      <c r="E513" s="103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x14ac:dyDescent="0.2">
      <c r="A514" s="87"/>
      <c r="B514" s="87"/>
      <c r="C514" s="87"/>
      <c r="D514" s="87"/>
      <c r="E514" s="103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x14ac:dyDescent="0.2">
      <c r="A515" s="87"/>
      <c r="B515" s="87"/>
      <c r="C515" s="87"/>
      <c r="D515" s="87"/>
      <c r="E515" s="103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x14ac:dyDescent="0.2">
      <c r="A516" s="87"/>
      <c r="B516" s="87"/>
      <c r="C516" s="87"/>
      <c r="D516" s="87"/>
      <c r="E516" s="103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x14ac:dyDescent="0.2">
      <c r="A517" s="87"/>
      <c r="B517" s="87"/>
      <c r="C517" s="87"/>
      <c r="D517" s="87"/>
      <c r="E517" s="103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x14ac:dyDescent="0.2">
      <c r="A518" s="87"/>
      <c r="B518" s="87"/>
      <c r="C518" s="87"/>
      <c r="D518" s="87"/>
      <c r="E518" s="103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x14ac:dyDescent="0.2">
      <c r="A519" s="87"/>
      <c r="B519" s="87"/>
      <c r="C519" s="87"/>
      <c r="D519" s="87"/>
      <c r="E519" s="103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x14ac:dyDescent="0.2">
      <c r="A520" s="87"/>
      <c r="B520" s="87"/>
      <c r="C520" s="87"/>
      <c r="D520" s="87"/>
      <c r="E520" s="103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x14ac:dyDescent="0.2">
      <c r="A521" s="87"/>
      <c r="B521" s="87"/>
      <c r="C521" s="87"/>
      <c r="D521" s="87"/>
      <c r="E521" s="103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x14ac:dyDescent="0.2">
      <c r="A522" s="87"/>
      <c r="B522" s="87"/>
      <c r="C522" s="87"/>
      <c r="D522" s="87"/>
      <c r="E522" s="103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x14ac:dyDescent="0.2">
      <c r="A523" s="87"/>
      <c r="B523" s="87"/>
      <c r="C523" s="87"/>
      <c r="D523" s="87"/>
      <c r="E523" s="103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x14ac:dyDescent="0.2">
      <c r="A524" s="87"/>
      <c r="B524" s="87"/>
      <c r="C524" s="87"/>
      <c r="D524" s="87"/>
      <c r="E524" s="103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x14ac:dyDescent="0.2">
      <c r="A525" s="87"/>
      <c r="B525" s="87"/>
      <c r="C525" s="87"/>
      <c r="D525" s="87"/>
      <c r="E525" s="103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x14ac:dyDescent="0.2">
      <c r="A526" s="87"/>
      <c r="B526" s="87"/>
      <c r="C526" s="87"/>
      <c r="D526" s="87"/>
      <c r="E526" s="103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x14ac:dyDescent="0.2">
      <c r="A527" s="87"/>
      <c r="B527" s="87"/>
      <c r="C527" s="87"/>
      <c r="D527" s="87"/>
      <c r="E527" s="103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x14ac:dyDescent="0.2">
      <c r="A528" s="87"/>
      <c r="B528" s="87"/>
      <c r="C528" s="87"/>
      <c r="D528" s="87"/>
      <c r="E528" s="103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x14ac:dyDescent="0.2">
      <c r="A529" s="87"/>
      <c r="B529" s="87"/>
      <c r="C529" s="87"/>
      <c r="D529" s="87"/>
      <c r="E529" s="103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x14ac:dyDescent="0.2">
      <c r="A530" s="87"/>
      <c r="B530" s="87"/>
      <c r="C530" s="87"/>
      <c r="D530" s="87"/>
      <c r="E530" s="103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x14ac:dyDescent="0.2">
      <c r="A531" s="87"/>
      <c r="B531" s="87"/>
      <c r="C531" s="87"/>
      <c r="D531" s="87"/>
      <c r="E531" s="103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x14ac:dyDescent="0.2">
      <c r="A532" s="87"/>
      <c r="B532" s="87"/>
      <c r="C532" s="87"/>
      <c r="D532" s="87"/>
      <c r="E532" s="103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x14ac:dyDescent="0.2">
      <c r="A533" s="87"/>
      <c r="B533" s="87"/>
      <c r="C533" s="87"/>
      <c r="D533" s="87"/>
      <c r="E533" s="103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x14ac:dyDescent="0.2">
      <c r="A534" s="87"/>
      <c r="B534" s="87"/>
      <c r="C534" s="87"/>
      <c r="D534" s="87"/>
      <c r="E534" s="103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x14ac:dyDescent="0.2">
      <c r="A535" s="87"/>
      <c r="B535" s="87"/>
      <c r="C535" s="87"/>
      <c r="D535" s="87"/>
      <c r="E535" s="103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x14ac:dyDescent="0.2">
      <c r="A536" s="87"/>
      <c r="B536" s="87"/>
      <c r="C536" s="87"/>
      <c r="D536" s="87"/>
      <c r="E536" s="103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x14ac:dyDescent="0.2">
      <c r="A537" s="87"/>
      <c r="B537" s="87"/>
      <c r="C537" s="87"/>
      <c r="D537" s="87"/>
      <c r="E537" s="103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x14ac:dyDescent="0.2">
      <c r="A538" s="87"/>
      <c r="B538" s="87"/>
      <c r="C538" s="87"/>
      <c r="D538" s="87"/>
      <c r="E538" s="103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x14ac:dyDescent="0.2">
      <c r="A539" s="87"/>
      <c r="B539" s="87"/>
      <c r="C539" s="87"/>
      <c r="D539" s="87"/>
      <c r="E539" s="103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x14ac:dyDescent="0.2">
      <c r="A540" s="87"/>
      <c r="B540" s="87"/>
      <c r="C540" s="87"/>
      <c r="D540" s="87"/>
      <c r="E540" s="103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x14ac:dyDescent="0.2">
      <c r="A541" s="87"/>
      <c r="B541" s="87"/>
      <c r="C541" s="87"/>
      <c r="D541" s="87"/>
      <c r="E541" s="103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x14ac:dyDescent="0.2">
      <c r="A542" s="87"/>
      <c r="B542" s="87"/>
      <c r="C542" s="87"/>
      <c r="D542" s="87"/>
      <c r="E542" s="103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x14ac:dyDescent="0.2">
      <c r="A543" s="87"/>
      <c r="B543" s="87"/>
      <c r="C543" s="87"/>
      <c r="D543" s="87"/>
      <c r="E543" s="103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x14ac:dyDescent="0.2">
      <c r="A544" s="87"/>
      <c r="B544" s="87"/>
      <c r="C544" s="87"/>
      <c r="D544" s="87"/>
      <c r="E544" s="103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x14ac:dyDescent="0.2">
      <c r="A545" s="87"/>
      <c r="B545" s="87"/>
      <c r="C545" s="87"/>
      <c r="D545" s="87"/>
      <c r="E545" s="103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x14ac:dyDescent="0.2">
      <c r="A546" s="87"/>
      <c r="B546" s="87"/>
      <c r="C546" s="87"/>
      <c r="D546" s="87"/>
      <c r="E546" s="103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x14ac:dyDescent="0.2">
      <c r="A547" s="87"/>
      <c r="B547" s="87"/>
      <c r="C547" s="87"/>
      <c r="D547" s="87"/>
      <c r="E547" s="103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x14ac:dyDescent="0.2">
      <c r="A548" s="87"/>
      <c r="B548" s="87"/>
      <c r="C548" s="87"/>
      <c r="D548" s="87"/>
      <c r="E548" s="103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x14ac:dyDescent="0.2">
      <c r="A549" s="87"/>
      <c r="B549" s="87"/>
      <c r="C549" s="87"/>
      <c r="D549" s="87"/>
      <c r="E549" s="103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x14ac:dyDescent="0.2">
      <c r="A550" s="87"/>
      <c r="B550" s="87"/>
      <c r="C550" s="87"/>
      <c r="D550" s="87"/>
      <c r="E550" s="103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x14ac:dyDescent="0.2">
      <c r="A551" s="87"/>
      <c r="B551" s="87"/>
      <c r="C551" s="87"/>
      <c r="D551" s="87"/>
      <c r="E551" s="103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x14ac:dyDescent="0.2">
      <c r="A552" s="87"/>
      <c r="B552" s="87"/>
      <c r="C552" s="87"/>
      <c r="D552" s="87"/>
      <c r="E552" s="103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x14ac:dyDescent="0.2">
      <c r="A553" s="87"/>
      <c r="B553" s="87"/>
      <c r="C553" s="87"/>
      <c r="D553" s="87"/>
      <c r="E553" s="103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x14ac:dyDescent="0.2">
      <c r="A554" s="87"/>
      <c r="B554" s="87"/>
      <c r="C554" s="87"/>
      <c r="D554" s="87"/>
      <c r="E554" s="103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x14ac:dyDescent="0.2">
      <c r="A555" s="87"/>
      <c r="B555" s="87"/>
      <c r="C555" s="87"/>
      <c r="D555" s="87"/>
      <c r="E555" s="103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x14ac:dyDescent="0.2">
      <c r="A556" s="87"/>
      <c r="B556" s="87"/>
      <c r="C556" s="87"/>
      <c r="D556" s="87"/>
      <c r="E556" s="103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x14ac:dyDescent="0.2">
      <c r="A557" s="87"/>
      <c r="B557" s="87"/>
      <c r="C557" s="87"/>
      <c r="D557" s="87"/>
      <c r="E557" s="103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x14ac:dyDescent="0.2">
      <c r="A558" s="87"/>
      <c r="B558" s="87"/>
      <c r="C558" s="87"/>
      <c r="D558" s="87"/>
      <c r="E558" s="103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x14ac:dyDescent="0.2">
      <c r="A559" s="87"/>
      <c r="B559" s="87"/>
      <c r="C559" s="87"/>
      <c r="D559" s="87"/>
      <c r="E559" s="103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x14ac:dyDescent="0.2">
      <c r="A560" s="87"/>
      <c r="B560" s="87"/>
      <c r="C560" s="87"/>
      <c r="D560" s="87"/>
      <c r="E560" s="103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x14ac:dyDescent="0.2">
      <c r="A561" s="87"/>
      <c r="B561" s="87"/>
      <c r="C561" s="87"/>
      <c r="D561" s="87"/>
      <c r="E561" s="103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x14ac:dyDescent="0.2">
      <c r="A562" s="87"/>
      <c r="B562" s="87"/>
      <c r="C562" s="87"/>
      <c r="D562" s="87"/>
      <c r="E562" s="103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x14ac:dyDescent="0.2">
      <c r="A563" s="87"/>
      <c r="B563" s="87"/>
      <c r="C563" s="87"/>
      <c r="D563" s="87"/>
      <c r="E563" s="103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x14ac:dyDescent="0.2">
      <c r="A564" s="87"/>
      <c r="B564" s="87"/>
      <c r="C564" s="87"/>
      <c r="D564" s="87"/>
      <c r="E564" s="103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x14ac:dyDescent="0.2">
      <c r="A565" s="87"/>
      <c r="B565" s="87"/>
      <c r="C565" s="87"/>
      <c r="D565" s="87"/>
      <c r="E565" s="103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x14ac:dyDescent="0.2">
      <c r="A566" s="87"/>
      <c r="B566" s="87"/>
      <c r="C566" s="87"/>
      <c r="D566" s="87"/>
      <c r="E566" s="103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x14ac:dyDescent="0.2">
      <c r="A567" s="87"/>
      <c r="B567" s="87"/>
      <c r="C567" s="87"/>
      <c r="D567" s="87"/>
      <c r="E567" s="103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x14ac:dyDescent="0.2">
      <c r="A568" s="87"/>
      <c r="B568" s="87"/>
      <c r="C568" s="87"/>
      <c r="D568" s="87"/>
      <c r="E568" s="103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x14ac:dyDescent="0.2">
      <c r="A569" s="87"/>
      <c r="B569" s="87"/>
      <c r="C569" s="87"/>
      <c r="D569" s="87"/>
      <c r="E569" s="103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x14ac:dyDescent="0.2">
      <c r="A570" s="87"/>
      <c r="B570" s="87"/>
      <c r="C570" s="87"/>
      <c r="D570" s="87"/>
      <c r="E570" s="103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x14ac:dyDescent="0.2">
      <c r="A571" s="87"/>
      <c r="B571" s="87"/>
      <c r="C571" s="87"/>
      <c r="D571" s="87"/>
      <c r="E571" s="103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x14ac:dyDescent="0.2">
      <c r="A572" s="87"/>
      <c r="B572" s="87"/>
      <c r="C572" s="87"/>
      <c r="D572" s="87"/>
      <c r="E572" s="103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x14ac:dyDescent="0.2">
      <c r="A573" s="87"/>
      <c r="B573" s="87"/>
      <c r="C573" s="87"/>
      <c r="D573" s="87"/>
      <c r="E573" s="103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x14ac:dyDescent="0.2">
      <c r="A574" s="87"/>
      <c r="B574" s="87"/>
      <c r="C574" s="87"/>
      <c r="D574" s="87"/>
      <c r="E574" s="103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x14ac:dyDescent="0.2">
      <c r="A575" s="87"/>
      <c r="B575" s="87"/>
      <c r="C575" s="87"/>
      <c r="D575" s="87"/>
      <c r="E575" s="103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x14ac:dyDescent="0.2">
      <c r="A576" s="87"/>
      <c r="B576" s="87"/>
      <c r="C576" s="87"/>
      <c r="D576" s="87"/>
      <c r="E576" s="103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x14ac:dyDescent="0.2">
      <c r="A577" s="87"/>
      <c r="B577" s="87"/>
      <c r="C577" s="87"/>
      <c r="D577" s="87"/>
      <c r="E577" s="103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x14ac:dyDescent="0.2">
      <c r="A578" s="87"/>
      <c r="B578" s="87"/>
      <c r="C578" s="87"/>
      <c r="D578" s="87"/>
      <c r="E578" s="103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x14ac:dyDescent="0.2">
      <c r="A579" s="87"/>
      <c r="B579" s="87"/>
      <c r="C579" s="87"/>
      <c r="D579" s="87"/>
      <c r="E579" s="103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x14ac:dyDescent="0.2">
      <c r="A580" s="87"/>
      <c r="B580" s="87"/>
      <c r="C580" s="87"/>
      <c r="D580" s="87"/>
      <c r="E580" s="103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x14ac:dyDescent="0.2">
      <c r="A581" s="87"/>
      <c r="B581" s="87"/>
      <c r="C581" s="87"/>
      <c r="D581" s="87"/>
      <c r="E581" s="103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x14ac:dyDescent="0.2">
      <c r="A582" s="87"/>
      <c r="B582" s="87"/>
      <c r="C582" s="87"/>
      <c r="D582" s="87"/>
      <c r="E582" s="103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x14ac:dyDescent="0.2">
      <c r="A583" s="87"/>
      <c r="B583" s="87"/>
      <c r="C583" s="87"/>
      <c r="D583" s="87"/>
      <c r="E583" s="103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x14ac:dyDescent="0.2">
      <c r="A584" s="87"/>
      <c r="B584" s="87"/>
      <c r="C584" s="87"/>
      <c r="D584" s="87"/>
      <c r="E584" s="103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x14ac:dyDescent="0.2">
      <c r="A585" s="87"/>
      <c r="B585" s="87"/>
      <c r="C585" s="87"/>
      <c r="D585" s="87"/>
      <c r="E585" s="103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x14ac:dyDescent="0.2">
      <c r="A586" s="87"/>
      <c r="B586" s="87"/>
      <c r="C586" s="87"/>
      <c r="D586" s="87"/>
      <c r="E586" s="103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x14ac:dyDescent="0.2">
      <c r="A587" s="87"/>
      <c r="B587" s="87"/>
      <c r="C587" s="87"/>
      <c r="D587" s="87"/>
      <c r="E587" s="103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x14ac:dyDescent="0.2">
      <c r="A588" s="87"/>
      <c r="B588" s="87"/>
      <c r="C588" s="87"/>
      <c r="D588" s="87"/>
      <c r="E588" s="103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x14ac:dyDescent="0.2">
      <c r="A589" s="87"/>
      <c r="B589" s="87"/>
      <c r="C589" s="87"/>
      <c r="D589" s="87"/>
      <c r="E589" s="103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x14ac:dyDescent="0.2">
      <c r="A590" s="87"/>
      <c r="B590" s="87"/>
      <c r="C590" s="87"/>
      <c r="D590" s="87"/>
      <c r="E590" s="103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x14ac:dyDescent="0.2">
      <c r="A591" s="87"/>
      <c r="B591" s="87"/>
      <c r="C591" s="87"/>
      <c r="D591" s="87"/>
      <c r="E591" s="103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x14ac:dyDescent="0.2">
      <c r="A592" s="87"/>
      <c r="B592" s="87"/>
      <c r="C592" s="87"/>
      <c r="D592" s="87"/>
      <c r="E592" s="103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x14ac:dyDescent="0.2">
      <c r="A593" s="87"/>
      <c r="B593" s="87"/>
      <c r="C593" s="87"/>
      <c r="D593" s="87"/>
      <c r="E593" s="103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x14ac:dyDescent="0.2">
      <c r="A594" s="87"/>
      <c r="B594" s="87"/>
      <c r="C594" s="87"/>
      <c r="D594" s="87"/>
      <c r="E594" s="103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x14ac:dyDescent="0.2">
      <c r="A595" s="87"/>
      <c r="B595" s="87"/>
      <c r="C595" s="87"/>
      <c r="D595" s="87"/>
      <c r="E595" s="103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x14ac:dyDescent="0.2">
      <c r="A596" s="87"/>
      <c r="B596" s="87"/>
      <c r="C596" s="87"/>
      <c r="D596" s="87"/>
      <c r="E596" s="103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x14ac:dyDescent="0.2">
      <c r="A597" s="87"/>
      <c r="B597" s="87"/>
      <c r="C597" s="87"/>
      <c r="D597" s="87"/>
      <c r="E597" s="103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x14ac:dyDescent="0.2">
      <c r="A598" s="87"/>
      <c r="B598" s="87"/>
      <c r="C598" s="87"/>
      <c r="D598" s="87"/>
      <c r="E598" s="103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x14ac:dyDescent="0.2">
      <c r="A599" s="87"/>
      <c r="B599" s="87"/>
      <c r="C599" s="87"/>
      <c r="D599" s="87"/>
      <c r="E599" s="103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x14ac:dyDescent="0.2">
      <c r="A600" s="87"/>
      <c r="B600" s="87"/>
      <c r="C600" s="87"/>
      <c r="D600" s="87"/>
      <c r="E600" s="103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x14ac:dyDescent="0.2">
      <c r="A601" s="87"/>
      <c r="B601" s="87"/>
      <c r="C601" s="87"/>
      <c r="D601" s="87"/>
      <c r="E601" s="103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x14ac:dyDescent="0.2">
      <c r="A602" s="87"/>
      <c r="B602" s="87"/>
      <c r="C602" s="87"/>
      <c r="D602" s="87"/>
      <c r="E602" s="103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x14ac:dyDescent="0.2">
      <c r="A603" s="87"/>
      <c r="B603" s="87"/>
      <c r="C603" s="87"/>
      <c r="D603" s="87"/>
      <c r="E603" s="103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x14ac:dyDescent="0.2">
      <c r="A604" s="87"/>
      <c r="B604" s="87"/>
      <c r="C604" s="87"/>
      <c r="D604" s="87"/>
      <c r="E604" s="103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x14ac:dyDescent="0.2">
      <c r="A605" s="87"/>
      <c r="B605" s="87"/>
      <c r="C605" s="87"/>
      <c r="D605" s="87"/>
      <c r="E605" s="103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x14ac:dyDescent="0.2">
      <c r="A606" s="87"/>
      <c r="B606" s="87"/>
      <c r="C606" s="87"/>
      <c r="D606" s="87"/>
      <c r="E606" s="103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x14ac:dyDescent="0.2">
      <c r="A607" s="87"/>
      <c r="B607" s="87"/>
      <c r="C607" s="87"/>
      <c r="D607" s="87"/>
      <c r="E607" s="103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x14ac:dyDescent="0.2">
      <c r="A608" s="87"/>
      <c r="B608" s="87"/>
      <c r="C608" s="87"/>
      <c r="D608" s="87"/>
      <c r="E608" s="103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x14ac:dyDescent="0.2">
      <c r="A609" s="87"/>
      <c r="B609" s="87"/>
      <c r="C609" s="87"/>
      <c r="D609" s="87"/>
      <c r="E609" s="103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x14ac:dyDescent="0.2">
      <c r="A610" s="87"/>
      <c r="B610" s="87"/>
      <c r="C610" s="87"/>
      <c r="D610" s="87"/>
      <c r="E610" s="103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x14ac:dyDescent="0.2">
      <c r="A611" s="87"/>
      <c r="B611" s="87"/>
      <c r="C611" s="87"/>
      <c r="D611" s="87"/>
      <c r="E611" s="103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x14ac:dyDescent="0.2">
      <c r="A612" s="87"/>
      <c r="B612" s="87"/>
      <c r="C612" s="87"/>
      <c r="D612" s="87"/>
      <c r="E612" s="103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x14ac:dyDescent="0.2">
      <c r="A613" s="87"/>
      <c r="B613" s="87"/>
      <c r="C613" s="87"/>
      <c r="D613" s="87"/>
      <c r="E613" s="103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x14ac:dyDescent="0.2">
      <c r="A614" s="87"/>
      <c r="B614" s="87"/>
      <c r="C614" s="87"/>
      <c r="D614" s="87"/>
      <c r="E614" s="103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x14ac:dyDescent="0.2">
      <c r="A615" s="87"/>
      <c r="B615" s="87"/>
      <c r="C615" s="87"/>
      <c r="D615" s="87"/>
      <c r="E615" s="103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x14ac:dyDescent="0.2">
      <c r="A616" s="87"/>
      <c r="B616" s="87"/>
      <c r="C616" s="87"/>
      <c r="D616" s="87"/>
      <c r="E616" s="103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x14ac:dyDescent="0.2">
      <c r="A617" s="87"/>
      <c r="B617" s="87"/>
      <c r="C617" s="87"/>
      <c r="D617" s="87"/>
      <c r="E617" s="103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x14ac:dyDescent="0.2">
      <c r="A618" s="87"/>
      <c r="B618" s="87"/>
      <c r="C618" s="87"/>
      <c r="D618" s="87"/>
      <c r="E618" s="103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x14ac:dyDescent="0.2">
      <c r="A619" s="87"/>
      <c r="B619" s="87"/>
      <c r="C619" s="87"/>
      <c r="D619" s="87"/>
      <c r="E619" s="103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x14ac:dyDescent="0.2">
      <c r="A620" s="87"/>
      <c r="B620" s="87"/>
      <c r="C620" s="87"/>
      <c r="D620" s="87"/>
      <c r="E620" s="103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x14ac:dyDescent="0.2">
      <c r="A621" s="87"/>
      <c r="B621" s="87"/>
      <c r="C621" s="87"/>
      <c r="D621" s="87"/>
      <c r="E621" s="103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x14ac:dyDescent="0.2">
      <c r="A622" s="87"/>
      <c r="B622" s="87"/>
      <c r="C622" s="87"/>
      <c r="D622" s="87"/>
      <c r="E622" s="103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x14ac:dyDescent="0.2">
      <c r="A623" s="87"/>
      <c r="B623" s="87"/>
      <c r="C623" s="87"/>
      <c r="D623" s="87"/>
      <c r="E623" s="103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x14ac:dyDescent="0.2">
      <c r="A624" s="87"/>
      <c r="B624" s="87"/>
      <c r="C624" s="87"/>
      <c r="D624" s="87"/>
      <c r="E624" s="103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x14ac:dyDescent="0.2">
      <c r="A625" s="87"/>
      <c r="B625" s="87"/>
      <c r="C625" s="87"/>
      <c r="D625" s="87"/>
      <c r="E625" s="103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x14ac:dyDescent="0.2">
      <c r="A626" s="87"/>
      <c r="B626" s="87"/>
      <c r="C626" s="87"/>
      <c r="D626" s="87"/>
      <c r="E626" s="103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x14ac:dyDescent="0.2">
      <c r="A627" s="87"/>
      <c r="B627" s="87"/>
      <c r="C627" s="87"/>
      <c r="D627" s="87"/>
      <c r="E627" s="103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x14ac:dyDescent="0.2">
      <c r="A628" s="87"/>
      <c r="B628" s="87"/>
      <c r="C628" s="87"/>
      <c r="D628" s="87"/>
      <c r="E628" s="103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x14ac:dyDescent="0.2">
      <c r="A629" s="87"/>
      <c r="B629" s="87"/>
      <c r="C629" s="87"/>
      <c r="D629" s="87"/>
      <c r="E629" s="103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x14ac:dyDescent="0.2">
      <c r="A630" s="87"/>
      <c r="B630" s="87"/>
      <c r="C630" s="87"/>
      <c r="D630" s="87"/>
      <c r="E630" s="103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x14ac:dyDescent="0.2">
      <c r="A631" s="87"/>
      <c r="B631" s="87"/>
      <c r="C631" s="87"/>
      <c r="D631" s="87"/>
      <c r="E631" s="103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x14ac:dyDescent="0.2">
      <c r="A632" s="87"/>
      <c r="B632" s="87"/>
      <c r="C632" s="87"/>
      <c r="D632" s="87"/>
      <c r="E632" s="103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x14ac:dyDescent="0.2">
      <c r="A633" s="87"/>
      <c r="B633" s="87"/>
      <c r="C633" s="87"/>
      <c r="D633" s="87"/>
      <c r="E633" s="103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x14ac:dyDescent="0.2">
      <c r="A634" s="87"/>
      <c r="B634" s="87"/>
      <c r="C634" s="87"/>
      <c r="D634" s="87"/>
      <c r="E634" s="103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x14ac:dyDescent="0.2">
      <c r="A635" s="87"/>
      <c r="B635" s="87"/>
      <c r="C635" s="87"/>
      <c r="D635" s="87"/>
      <c r="E635" s="103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x14ac:dyDescent="0.2">
      <c r="A636" s="87"/>
      <c r="B636" s="87"/>
      <c r="C636" s="87"/>
      <c r="D636" s="87"/>
      <c r="E636" s="103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x14ac:dyDescent="0.2">
      <c r="A637" s="87"/>
      <c r="B637" s="87"/>
      <c r="C637" s="87"/>
      <c r="D637" s="87"/>
      <c r="E637" s="103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x14ac:dyDescent="0.2">
      <c r="A638" s="87"/>
      <c r="B638" s="87"/>
      <c r="C638" s="87"/>
      <c r="D638" s="87"/>
      <c r="E638" s="103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x14ac:dyDescent="0.2">
      <c r="A639" s="87"/>
      <c r="B639" s="87"/>
      <c r="C639" s="87"/>
      <c r="D639" s="87"/>
      <c r="E639" s="103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x14ac:dyDescent="0.2">
      <c r="A640" s="87"/>
      <c r="B640" s="87"/>
      <c r="C640" s="87"/>
      <c r="D640" s="87"/>
      <c r="E640" s="103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x14ac:dyDescent="0.2">
      <c r="A641" s="87"/>
      <c r="B641" s="87"/>
      <c r="C641" s="87"/>
      <c r="D641" s="87"/>
      <c r="E641" s="103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x14ac:dyDescent="0.2">
      <c r="A642" s="87"/>
      <c r="B642" s="87"/>
      <c r="C642" s="87"/>
      <c r="D642" s="87"/>
      <c r="E642" s="103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x14ac:dyDescent="0.2">
      <c r="A643" s="87"/>
      <c r="B643" s="87"/>
      <c r="C643" s="87"/>
      <c r="D643" s="87"/>
      <c r="E643" s="103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x14ac:dyDescent="0.2">
      <c r="A644" s="87"/>
      <c r="B644" s="87"/>
      <c r="C644" s="87"/>
      <c r="D644" s="87"/>
      <c r="E644" s="103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x14ac:dyDescent="0.2">
      <c r="A645" s="87"/>
      <c r="B645" s="87"/>
      <c r="C645" s="87"/>
      <c r="D645" s="87"/>
      <c r="E645" s="103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x14ac:dyDescent="0.2">
      <c r="A646" s="87"/>
      <c r="B646" s="87"/>
      <c r="C646" s="87"/>
      <c r="D646" s="87"/>
      <c r="E646" s="103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x14ac:dyDescent="0.2">
      <c r="A647" s="87"/>
      <c r="B647" s="87"/>
      <c r="C647" s="87"/>
      <c r="D647" s="87"/>
      <c r="E647" s="103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x14ac:dyDescent="0.2">
      <c r="A648" s="87"/>
      <c r="B648" s="87"/>
      <c r="C648" s="87"/>
      <c r="D648" s="87"/>
      <c r="E648" s="103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x14ac:dyDescent="0.2">
      <c r="A649" s="87"/>
      <c r="B649" s="87"/>
      <c r="C649" s="87"/>
      <c r="D649" s="87"/>
      <c r="E649" s="103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x14ac:dyDescent="0.2">
      <c r="A650" s="87"/>
      <c r="B650" s="87"/>
      <c r="C650" s="87"/>
      <c r="D650" s="87"/>
      <c r="E650" s="103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x14ac:dyDescent="0.2">
      <c r="A651" s="87"/>
      <c r="B651" s="87"/>
      <c r="C651" s="87"/>
      <c r="D651" s="87"/>
      <c r="E651" s="103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x14ac:dyDescent="0.2">
      <c r="A652" s="87"/>
      <c r="B652" s="87"/>
      <c r="C652" s="87"/>
      <c r="D652" s="87"/>
      <c r="E652" s="103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x14ac:dyDescent="0.2">
      <c r="A653" s="87"/>
      <c r="B653" s="87"/>
      <c r="C653" s="87"/>
      <c r="D653" s="87"/>
      <c r="E653" s="103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x14ac:dyDescent="0.2">
      <c r="A654" s="87"/>
      <c r="B654" s="87"/>
      <c r="C654" s="87"/>
      <c r="D654" s="87"/>
      <c r="E654" s="103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x14ac:dyDescent="0.2">
      <c r="A655" s="87"/>
      <c r="B655" s="87"/>
      <c r="C655" s="87"/>
      <c r="D655" s="87"/>
      <c r="E655" s="103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x14ac:dyDescent="0.2">
      <c r="A656" s="87"/>
      <c r="B656" s="87"/>
      <c r="C656" s="87"/>
      <c r="D656" s="87"/>
      <c r="E656" s="103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x14ac:dyDescent="0.2">
      <c r="A657" s="87"/>
      <c r="B657" s="87"/>
      <c r="C657" s="87"/>
      <c r="D657" s="87"/>
      <c r="E657" s="103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x14ac:dyDescent="0.2">
      <c r="A658" s="87"/>
      <c r="B658" s="87"/>
      <c r="C658" s="87"/>
      <c r="D658" s="87"/>
      <c r="E658" s="103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x14ac:dyDescent="0.2">
      <c r="A659" s="87"/>
      <c r="B659" s="87"/>
      <c r="C659" s="87"/>
      <c r="D659" s="87"/>
      <c r="E659" s="103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x14ac:dyDescent="0.2">
      <c r="A660" s="87"/>
      <c r="B660" s="87"/>
      <c r="C660" s="87"/>
      <c r="D660" s="87"/>
      <c r="E660" s="103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x14ac:dyDescent="0.2">
      <c r="A661" s="87"/>
      <c r="B661" s="87"/>
      <c r="C661" s="87"/>
      <c r="D661" s="87"/>
      <c r="E661" s="103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x14ac:dyDescent="0.2">
      <c r="A662" s="87"/>
      <c r="B662" s="87"/>
      <c r="C662" s="87"/>
      <c r="D662" s="87"/>
      <c r="E662" s="103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x14ac:dyDescent="0.2">
      <c r="A663" s="87"/>
      <c r="B663" s="87"/>
      <c r="C663" s="87"/>
      <c r="D663" s="87"/>
      <c r="E663" s="103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x14ac:dyDescent="0.2">
      <c r="A664" s="87"/>
      <c r="B664" s="87"/>
      <c r="C664" s="87"/>
      <c r="D664" s="87"/>
      <c r="E664" s="103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x14ac:dyDescent="0.2">
      <c r="A665" s="87"/>
      <c r="B665" s="87"/>
      <c r="C665" s="87"/>
      <c r="D665" s="87"/>
      <c r="E665" s="103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x14ac:dyDescent="0.2">
      <c r="A666" s="87"/>
      <c r="B666" s="87"/>
      <c r="C666" s="87"/>
      <c r="D666" s="87"/>
      <c r="E666" s="103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x14ac:dyDescent="0.2">
      <c r="A667" s="87"/>
      <c r="B667" s="87"/>
      <c r="C667" s="87"/>
      <c r="D667" s="87"/>
      <c r="E667" s="103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x14ac:dyDescent="0.2">
      <c r="A668" s="87"/>
      <c r="B668" s="87"/>
      <c r="C668" s="87"/>
      <c r="D668" s="87"/>
      <c r="E668" s="103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x14ac:dyDescent="0.2">
      <c r="A669" s="87"/>
      <c r="B669" s="87"/>
      <c r="C669" s="87"/>
      <c r="D669" s="87"/>
      <c r="E669" s="103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x14ac:dyDescent="0.2">
      <c r="A670" s="87"/>
      <c r="B670" s="87"/>
      <c r="C670" s="87"/>
      <c r="D670" s="87"/>
      <c r="E670" s="103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x14ac:dyDescent="0.2">
      <c r="A671" s="87"/>
      <c r="B671" s="87"/>
      <c r="C671" s="87"/>
      <c r="D671" s="87"/>
      <c r="E671" s="103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x14ac:dyDescent="0.2">
      <c r="A672" s="87"/>
      <c r="B672" s="87"/>
      <c r="C672" s="87"/>
      <c r="D672" s="87"/>
      <c r="E672" s="103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x14ac:dyDescent="0.2">
      <c r="A673" s="87"/>
      <c r="B673" s="87"/>
      <c r="C673" s="87"/>
      <c r="D673" s="87"/>
      <c r="E673" s="103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x14ac:dyDescent="0.2">
      <c r="A674" s="87"/>
      <c r="B674" s="87"/>
      <c r="C674" s="87"/>
      <c r="D674" s="87"/>
      <c r="E674" s="103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x14ac:dyDescent="0.2">
      <c r="A675" s="87"/>
      <c r="B675" s="87"/>
      <c r="C675" s="87"/>
      <c r="D675" s="87"/>
      <c r="E675" s="103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x14ac:dyDescent="0.2">
      <c r="A676" s="87"/>
      <c r="B676" s="87"/>
      <c r="C676" s="87"/>
      <c r="D676" s="87"/>
      <c r="E676" s="103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x14ac:dyDescent="0.2">
      <c r="A677" s="87"/>
      <c r="B677" s="87"/>
      <c r="C677" s="87"/>
      <c r="D677" s="87"/>
      <c r="E677" s="103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x14ac:dyDescent="0.2">
      <c r="A678" s="87"/>
      <c r="B678" s="87"/>
      <c r="C678" s="87"/>
      <c r="D678" s="87"/>
      <c r="E678" s="103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x14ac:dyDescent="0.2">
      <c r="A679" s="87"/>
      <c r="B679" s="87"/>
      <c r="C679" s="87"/>
      <c r="D679" s="87"/>
      <c r="E679" s="103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x14ac:dyDescent="0.2">
      <c r="A680" s="87"/>
      <c r="B680" s="87"/>
      <c r="C680" s="87"/>
      <c r="D680" s="87"/>
      <c r="E680" s="103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x14ac:dyDescent="0.2">
      <c r="A681" s="87"/>
      <c r="B681" s="87"/>
      <c r="C681" s="87"/>
      <c r="D681" s="87"/>
      <c r="E681" s="103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x14ac:dyDescent="0.2">
      <c r="A682" s="87"/>
      <c r="B682" s="87"/>
      <c r="C682" s="87"/>
      <c r="D682" s="87"/>
      <c r="E682" s="103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x14ac:dyDescent="0.2">
      <c r="A683" s="87"/>
      <c r="B683" s="87"/>
      <c r="C683" s="87"/>
      <c r="D683" s="87"/>
      <c r="E683" s="103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x14ac:dyDescent="0.2">
      <c r="A684" s="87"/>
      <c r="B684" s="87"/>
      <c r="C684" s="87"/>
      <c r="D684" s="87"/>
      <c r="E684" s="103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x14ac:dyDescent="0.2">
      <c r="A685" s="87"/>
      <c r="B685" s="87"/>
      <c r="C685" s="87"/>
      <c r="D685" s="87"/>
      <c r="E685" s="103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x14ac:dyDescent="0.2">
      <c r="A686" s="87"/>
      <c r="B686" s="87"/>
      <c r="C686" s="87"/>
      <c r="D686" s="87"/>
      <c r="E686" s="103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x14ac:dyDescent="0.2">
      <c r="A687" s="87"/>
      <c r="B687" s="87"/>
      <c r="C687" s="87"/>
      <c r="D687" s="87"/>
      <c r="E687" s="103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x14ac:dyDescent="0.2">
      <c r="A688" s="87"/>
      <c r="B688" s="87"/>
      <c r="C688" s="87"/>
      <c r="D688" s="87"/>
      <c r="E688" s="103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x14ac:dyDescent="0.2">
      <c r="A689" s="87"/>
      <c r="B689" s="87"/>
      <c r="C689" s="87"/>
      <c r="D689" s="87"/>
      <c r="E689" s="103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x14ac:dyDescent="0.2">
      <c r="A690" s="87"/>
      <c r="B690" s="87"/>
      <c r="C690" s="87"/>
      <c r="D690" s="87"/>
      <c r="E690" s="103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x14ac:dyDescent="0.2">
      <c r="A691" s="87"/>
      <c r="B691" s="87"/>
      <c r="C691" s="87"/>
      <c r="D691" s="87"/>
      <c r="E691" s="103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x14ac:dyDescent="0.2">
      <c r="A692" s="87"/>
      <c r="B692" s="87"/>
      <c r="C692" s="87"/>
      <c r="D692" s="87"/>
      <c r="E692" s="103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x14ac:dyDescent="0.2">
      <c r="A693" s="87"/>
      <c r="B693" s="87"/>
      <c r="C693" s="87"/>
      <c r="D693" s="87"/>
      <c r="E693" s="103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x14ac:dyDescent="0.2">
      <c r="A694" s="87"/>
      <c r="B694" s="87"/>
      <c r="C694" s="87"/>
      <c r="D694" s="87"/>
      <c r="E694" s="103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x14ac:dyDescent="0.2">
      <c r="A695" s="87"/>
      <c r="B695" s="87"/>
      <c r="C695" s="87"/>
      <c r="D695" s="87"/>
      <c r="E695" s="103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x14ac:dyDescent="0.2">
      <c r="A696" s="87"/>
      <c r="B696" s="87"/>
      <c r="C696" s="87"/>
      <c r="D696" s="87"/>
      <c r="E696" s="103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x14ac:dyDescent="0.2">
      <c r="A697" s="87"/>
      <c r="B697" s="87"/>
      <c r="C697" s="87"/>
      <c r="D697" s="87"/>
      <c r="E697" s="103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x14ac:dyDescent="0.2">
      <c r="A698" s="87"/>
      <c r="B698" s="87"/>
      <c r="C698" s="87"/>
      <c r="D698" s="87"/>
      <c r="E698" s="103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x14ac:dyDescent="0.2">
      <c r="A699" s="87"/>
      <c r="B699" s="87"/>
      <c r="C699" s="87"/>
      <c r="D699" s="87"/>
      <c r="E699" s="103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x14ac:dyDescent="0.2">
      <c r="A700" s="87"/>
      <c r="B700" s="87"/>
      <c r="C700" s="87"/>
      <c r="D700" s="87"/>
      <c r="E700" s="103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x14ac:dyDescent="0.2">
      <c r="A701" s="87"/>
      <c r="B701" s="87"/>
      <c r="C701" s="87"/>
      <c r="D701" s="87"/>
      <c r="E701" s="103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x14ac:dyDescent="0.2">
      <c r="A702" s="87"/>
      <c r="B702" s="87"/>
      <c r="C702" s="87"/>
      <c r="D702" s="87"/>
      <c r="E702" s="103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x14ac:dyDescent="0.2">
      <c r="A703" s="87"/>
      <c r="B703" s="87"/>
      <c r="C703" s="87"/>
      <c r="D703" s="87"/>
      <c r="E703" s="103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x14ac:dyDescent="0.2">
      <c r="A704" s="87"/>
      <c r="B704" s="87"/>
      <c r="C704" s="87"/>
      <c r="D704" s="87"/>
      <c r="E704" s="103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x14ac:dyDescent="0.2">
      <c r="A705" s="87"/>
      <c r="B705" s="87"/>
      <c r="C705" s="87"/>
      <c r="D705" s="87"/>
      <c r="E705" s="103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x14ac:dyDescent="0.2">
      <c r="A706" s="87"/>
      <c r="B706" s="87"/>
      <c r="C706" s="87"/>
      <c r="D706" s="87"/>
      <c r="E706" s="103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x14ac:dyDescent="0.2">
      <c r="A707" s="87"/>
      <c r="B707" s="87"/>
      <c r="C707" s="87"/>
      <c r="D707" s="87"/>
      <c r="E707" s="103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x14ac:dyDescent="0.2">
      <c r="A708" s="87"/>
      <c r="B708" s="87"/>
      <c r="C708" s="87"/>
      <c r="D708" s="87"/>
      <c r="E708" s="103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x14ac:dyDescent="0.2">
      <c r="A709" s="87"/>
      <c r="B709" s="87"/>
      <c r="C709" s="87"/>
      <c r="D709" s="87"/>
      <c r="E709" s="103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x14ac:dyDescent="0.2">
      <c r="A710" s="87"/>
      <c r="B710" s="87"/>
      <c r="C710" s="87"/>
      <c r="D710" s="87"/>
      <c r="E710" s="103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x14ac:dyDescent="0.2">
      <c r="A711" s="87"/>
      <c r="B711" s="87"/>
      <c r="C711" s="87"/>
      <c r="D711" s="87"/>
      <c r="E711" s="103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x14ac:dyDescent="0.2">
      <c r="A712" s="87"/>
      <c r="B712" s="87"/>
      <c r="C712" s="87"/>
      <c r="D712" s="87"/>
      <c r="E712" s="103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x14ac:dyDescent="0.2">
      <c r="A713" s="87"/>
      <c r="B713" s="87"/>
      <c r="C713" s="87"/>
      <c r="D713" s="87"/>
      <c r="E713" s="103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x14ac:dyDescent="0.2">
      <c r="A714" s="87"/>
      <c r="B714" s="87"/>
      <c r="C714" s="87"/>
      <c r="D714" s="87"/>
      <c r="E714" s="103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x14ac:dyDescent="0.2">
      <c r="A715" s="87"/>
      <c r="B715" s="87"/>
      <c r="C715" s="87"/>
      <c r="D715" s="87"/>
      <c r="E715" s="103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x14ac:dyDescent="0.2">
      <c r="A716" s="87"/>
      <c r="B716" s="87"/>
      <c r="C716" s="87"/>
      <c r="D716" s="87"/>
      <c r="E716" s="103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x14ac:dyDescent="0.2">
      <c r="A717" s="87"/>
      <c r="B717" s="87"/>
      <c r="C717" s="87"/>
      <c r="D717" s="87"/>
      <c r="E717" s="103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x14ac:dyDescent="0.2">
      <c r="A718" s="87"/>
      <c r="B718" s="87"/>
      <c r="C718" s="87"/>
      <c r="D718" s="87"/>
      <c r="E718" s="103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x14ac:dyDescent="0.2">
      <c r="A719" s="87"/>
      <c r="B719" s="87"/>
      <c r="C719" s="87"/>
      <c r="D719" s="87"/>
      <c r="E719" s="103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x14ac:dyDescent="0.2">
      <c r="A720" s="87"/>
      <c r="B720" s="87"/>
      <c r="C720" s="87"/>
      <c r="D720" s="87"/>
      <c r="E720" s="103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x14ac:dyDescent="0.2">
      <c r="A721" s="87"/>
      <c r="B721" s="87"/>
      <c r="C721" s="87"/>
      <c r="D721" s="87"/>
      <c r="E721" s="103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x14ac:dyDescent="0.2">
      <c r="A722" s="87"/>
      <c r="B722" s="87"/>
      <c r="C722" s="87"/>
      <c r="D722" s="87"/>
      <c r="E722" s="103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x14ac:dyDescent="0.2">
      <c r="A723" s="87"/>
      <c r="B723" s="87"/>
      <c r="C723" s="87"/>
      <c r="D723" s="87"/>
      <c r="E723" s="103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x14ac:dyDescent="0.2">
      <c r="A724" s="87"/>
      <c r="B724" s="87"/>
      <c r="C724" s="87"/>
      <c r="D724" s="87"/>
      <c r="E724" s="103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x14ac:dyDescent="0.2">
      <c r="A725" s="87"/>
      <c r="B725" s="87"/>
      <c r="C725" s="87"/>
      <c r="D725" s="87"/>
      <c r="E725" s="103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x14ac:dyDescent="0.2">
      <c r="A726" s="87"/>
      <c r="B726" s="87"/>
      <c r="C726" s="87"/>
      <c r="D726" s="87"/>
      <c r="E726" s="103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x14ac:dyDescent="0.2">
      <c r="A727" s="87"/>
      <c r="B727" s="87"/>
      <c r="C727" s="87"/>
      <c r="D727" s="87"/>
      <c r="E727" s="103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x14ac:dyDescent="0.2">
      <c r="A728" s="87"/>
      <c r="B728" s="87"/>
      <c r="C728" s="87"/>
      <c r="D728" s="87"/>
      <c r="E728" s="103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x14ac:dyDescent="0.2">
      <c r="A729" s="87"/>
      <c r="B729" s="87"/>
      <c r="C729" s="87"/>
      <c r="D729" s="87"/>
      <c r="E729" s="103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x14ac:dyDescent="0.2">
      <c r="A730" s="87"/>
      <c r="B730" s="87"/>
      <c r="C730" s="87"/>
      <c r="D730" s="87"/>
      <c r="E730" s="103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x14ac:dyDescent="0.2">
      <c r="A731" s="87"/>
      <c r="B731" s="87"/>
      <c r="C731" s="87"/>
      <c r="D731" s="87"/>
      <c r="E731" s="103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x14ac:dyDescent="0.2">
      <c r="A732" s="87"/>
      <c r="B732" s="87"/>
      <c r="C732" s="87"/>
      <c r="D732" s="87"/>
      <c r="E732" s="103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x14ac:dyDescent="0.2">
      <c r="A733" s="87"/>
      <c r="B733" s="87"/>
      <c r="C733" s="87"/>
      <c r="D733" s="87"/>
      <c r="E733" s="103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x14ac:dyDescent="0.2">
      <c r="A734" s="87"/>
      <c r="B734" s="87"/>
      <c r="C734" s="87"/>
      <c r="D734" s="87"/>
      <c r="E734" s="103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x14ac:dyDescent="0.2">
      <c r="A735" s="87"/>
      <c r="B735" s="87"/>
      <c r="C735" s="87"/>
      <c r="D735" s="87"/>
      <c r="E735" s="103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x14ac:dyDescent="0.2">
      <c r="A736" s="87"/>
      <c r="B736" s="87"/>
      <c r="C736" s="87"/>
      <c r="D736" s="87"/>
      <c r="E736" s="103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x14ac:dyDescent="0.2">
      <c r="A737" s="87"/>
      <c r="B737" s="87"/>
      <c r="C737" s="87"/>
      <c r="D737" s="87"/>
      <c r="E737" s="103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x14ac:dyDescent="0.2">
      <c r="A738" s="87"/>
      <c r="B738" s="87"/>
      <c r="C738" s="87"/>
      <c r="D738" s="87"/>
      <c r="E738" s="103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x14ac:dyDescent="0.2">
      <c r="A739" s="87"/>
      <c r="B739" s="87"/>
      <c r="C739" s="87"/>
      <c r="D739" s="87"/>
      <c r="E739" s="103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x14ac:dyDescent="0.2">
      <c r="A740" s="87"/>
      <c r="B740" s="87"/>
      <c r="C740" s="87"/>
      <c r="D740" s="87"/>
      <c r="E740" s="103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x14ac:dyDescent="0.2">
      <c r="A741" s="87"/>
      <c r="B741" s="87"/>
      <c r="C741" s="87"/>
      <c r="D741" s="87"/>
      <c r="E741" s="103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x14ac:dyDescent="0.2">
      <c r="A742" s="87"/>
      <c r="B742" s="87"/>
      <c r="C742" s="87"/>
      <c r="D742" s="87"/>
      <c r="E742" s="103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x14ac:dyDescent="0.2">
      <c r="A743" s="87"/>
      <c r="B743" s="87"/>
      <c r="C743" s="87"/>
      <c r="D743" s="87"/>
      <c r="E743" s="103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x14ac:dyDescent="0.2">
      <c r="A744" s="87"/>
      <c r="B744" s="87"/>
      <c r="C744" s="87"/>
      <c r="D744" s="87"/>
      <c r="E744" s="103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x14ac:dyDescent="0.2">
      <c r="A745" s="87"/>
      <c r="B745" s="87"/>
      <c r="C745" s="87"/>
      <c r="D745" s="87"/>
      <c r="E745" s="103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x14ac:dyDescent="0.2">
      <c r="A746" s="87"/>
      <c r="B746" s="87"/>
      <c r="C746" s="87"/>
      <c r="D746" s="87"/>
      <c r="E746" s="103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x14ac:dyDescent="0.2">
      <c r="A747" s="87"/>
      <c r="B747" s="87"/>
      <c r="C747" s="87"/>
      <c r="D747" s="87"/>
      <c r="E747" s="103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x14ac:dyDescent="0.2">
      <c r="A748" s="87"/>
      <c r="B748" s="87"/>
      <c r="C748" s="87"/>
      <c r="D748" s="87"/>
      <c r="E748" s="103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x14ac:dyDescent="0.2">
      <c r="A749" s="87"/>
      <c r="B749" s="87"/>
      <c r="C749" s="87"/>
      <c r="D749" s="87"/>
      <c r="E749" s="103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x14ac:dyDescent="0.2">
      <c r="A750" s="87"/>
      <c r="B750" s="87"/>
      <c r="C750" s="87"/>
      <c r="D750" s="87"/>
      <c r="E750" s="103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x14ac:dyDescent="0.2">
      <c r="A751" s="87"/>
      <c r="B751" s="87"/>
      <c r="C751" s="87"/>
      <c r="D751" s="87"/>
      <c r="E751" s="103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x14ac:dyDescent="0.2">
      <c r="A752" s="87"/>
      <c r="B752" s="87"/>
      <c r="C752" s="87"/>
      <c r="D752" s="87"/>
      <c r="E752" s="103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x14ac:dyDescent="0.2">
      <c r="A753" s="87"/>
      <c r="B753" s="87"/>
      <c r="C753" s="87"/>
      <c r="D753" s="87"/>
      <c r="E753" s="103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x14ac:dyDescent="0.2">
      <c r="A754" s="87"/>
      <c r="B754" s="87"/>
      <c r="C754" s="87"/>
      <c r="D754" s="87"/>
      <c r="E754" s="103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x14ac:dyDescent="0.2">
      <c r="A755" s="87"/>
      <c r="B755" s="87"/>
      <c r="C755" s="87"/>
      <c r="D755" s="87"/>
      <c r="E755" s="103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x14ac:dyDescent="0.2">
      <c r="A756" s="87"/>
      <c r="B756" s="87"/>
      <c r="C756" s="87"/>
      <c r="D756" s="87"/>
      <c r="E756" s="103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x14ac:dyDescent="0.2">
      <c r="A757" s="87"/>
      <c r="B757" s="87"/>
      <c r="C757" s="87"/>
      <c r="D757" s="87"/>
      <c r="E757" s="103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x14ac:dyDescent="0.2">
      <c r="A758" s="87"/>
      <c r="B758" s="87"/>
      <c r="C758" s="87"/>
      <c r="D758" s="87"/>
      <c r="E758" s="103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x14ac:dyDescent="0.2">
      <c r="A759" s="87"/>
      <c r="B759" s="87"/>
      <c r="C759" s="87"/>
      <c r="D759" s="87"/>
      <c r="E759" s="103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x14ac:dyDescent="0.2">
      <c r="A760" s="87"/>
      <c r="B760" s="87"/>
      <c r="C760" s="87"/>
      <c r="D760" s="87"/>
      <c r="E760" s="103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x14ac:dyDescent="0.2">
      <c r="A761" s="87"/>
      <c r="B761" s="87"/>
      <c r="C761" s="87"/>
      <c r="D761" s="87"/>
      <c r="E761" s="103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x14ac:dyDescent="0.2">
      <c r="A762" s="87"/>
      <c r="B762" s="87"/>
      <c r="C762" s="87"/>
      <c r="D762" s="87"/>
      <c r="E762" s="103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x14ac:dyDescent="0.2">
      <c r="A763" s="87"/>
      <c r="B763" s="87"/>
      <c r="C763" s="87"/>
      <c r="D763" s="87"/>
      <c r="E763" s="103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x14ac:dyDescent="0.2">
      <c r="A764" s="87"/>
      <c r="B764" s="87"/>
      <c r="C764" s="87"/>
      <c r="D764" s="87"/>
      <c r="E764" s="103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x14ac:dyDescent="0.2">
      <c r="A765" s="87"/>
      <c r="B765" s="87"/>
      <c r="C765" s="87"/>
      <c r="D765" s="87"/>
      <c r="E765" s="103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x14ac:dyDescent="0.2">
      <c r="A766" s="87"/>
      <c r="B766" s="87"/>
      <c r="C766" s="87"/>
      <c r="D766" s="87"/>
      <c r="E766" s="103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x14ac:dyDescent="0.2">
      <c r="A767" s="87"/>
      <c r="B767" s="87"/>
      <c r="C767" s="87"/>
      <c r="D767" s="87"/>
      <c r="E767" s="103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x14ac:dyDescent="0.2">
      <c r="A768" s="87"/>
      <c r="B768" s="87"/>
      <c r="C768" s="87"/>
      <c r="D768" s="87"/>
      <c r="E768" s="103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x14ac:dyDescent="0.2">
      <c r="A769" s="87"/>
      <c r="B769" s="87"/>
      <c r="C769" s="87"/>
      <c r="D769" s="87"/>
      <c r="E769" s="103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x14ac:dyDescent="0.2">
      <c r="A770" s="87"/>
      <c r="B770" s="87"/>
      <c r="C770" s="87"/>
      <c r="D770" s="87"/>
      <c r="E770" s="103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x14ac:dyDescent="0.2">
      <c r="A771" s="87"/>
      <c r="B771" s="87"/>
      <c r="C771" s="87"/>
      <c r="D771" s="87"/>
      <c r="E771" s="103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x14ac:dyDescent="0.2">
      <c r="A772" s="87"/>
      <c r="B772" s="87"/>
      <c r="C772" s="87"/>
      <c r="D772" s="87"/>
      <c r="E772" s="103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x14ac:dyDescent="0.2">
      <c r="A773" s="87"/>
      <c r="B773" s="87"/>
      <c r="C773" s="87"/>
      <c r="D773" s="87"/>
      <c r="E773" s="103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x14ac:dyDescent="0.2">
      <c r="A774" s="87"/>
      <c r="B774" s="87"/>
      <c r="C774" s="87"/>
      <c r="D774" s="87"/>
      <c r="E774" s="103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x14ac:dyDescent="0.2">
      <c r="A775" s="87"/>
      <c r="B775" s="87"/>
      <c r="C775" s="87"/>
      <c r="D775" s="87"/>
      <c r="E775" s="103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x14ac:dyDescent="0.2">
      <c r="A776" s="87"/>
      <c r="B776" s="87"/>
      <c r="C776" s="87"/>
      <c r="D776" s="87"/>
      <c r="E776" s="103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x14ac:dyDescent="0.2">
      <c r="A777" s="87"/>
      <c r="B777" s="87"/>
      <c r="C777" s="87"/>
      <c r="D777" s="87"/>
      <c r="E777" s="103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x14ac:dyDescent="0.2">
      <c r="A778" s="87"/>
      <c r="B778" s="87"/>
      <c r="C778" s="87"/>
      <c r="D778" s="87"/>
      <c r="E778" s="103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x14ac:dyDescent="0.2">
      <c r="A779" s="87"/>
      <c r="B779" s="87"/>
      <c r="C779" s="87"/>
      <c r="D779" s="87"/>
      <c r="E779" s="103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x14ac:dyDescent="0.2">
      <c r="A780" s="87"/>
      <c r="B780" s="87"/>
      <c r="C780" s="87"/>
      <c r="D780" s="87"/>
      <c r="E780" s="103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x14ac:dyDescent="0.2">
      <c r="A781" s="87"/>
      <c r="B781" s="87"/>
      <c r="C781" s="87"/>
      <c r="D781" s="87"/>
      <c r="E781" s="103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x14ac:dyDescent="0.2">
      <c r="A782" s="87"/>
      <c r="B782" s="87"/>
      <c r="C782" s="87"/>
      <c r="D782" s="87"/>
      <c r="E782" s="103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x14ac:dyDescent="0.2">
      <c r="A783" s="87"/>
      <c r="B783" s="87"/>
      <c r="C783" s="87"/>
      <c r="D783" s="87"/>
      <c r="E783" s="103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x14ac:dyDescent="0.2">
      <c r="A784" s="87"/>
      <c r="B784" s="87"/>
      <c r="C784" s="87"/>
      <c r="D784" s="87"/>
      <c r="E784" s="103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x14ac:dyDescent="0.2">
      <c r="A785" s="87"/>
      <c r="B785" s="87"/>
      <c r="C785" s="87"/>
      <c r="D785" s="87"/>
      <c r="E785" s="103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x14ac:dyDescent="0.2">
      <c r="A786" s="87"/>
      <c r="B786" s="87"/>
      <c r="C786" s="87"/>
      <c r="D786" s="87"/>
      <c r="E786" s="103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x14ac:dyDescent="0.2">
      <c r="A787" s="87"/>
      <c r="B787" s="87"/>
      <c r="C787" s="87"/>
      <c r="D787" s="87"/>
      <c r="E787" s="103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x14ac:dyDescent="0.2">
      <c r="A788" s="87"/>
      <c r="B788" s="87"/>
      <c r="C788" s="87"/>
      <c r="D788" s="87"/>
      <c r="E788" s="103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x14ac:dyDescent="0.2">
      <c r="A789" s="87"/>
      <c r="B789" s="87"/>
      <c r="C789" s="87"/>
      <c r="D789" s="87"/>
      <c r="E789" s="103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x14ac:dyDescent="0.2">
      <c r="A790" s="87"/>
      <c r="B790" s="87"/>
      <c r="C790" s="87"/>
      <c r="D790" s="87"/>
      <c r="E790" s="103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x14ac:dyDescent="0.2">
      <c r="A791" s="87"/>
      <c r="B791" s="87"/>
      <c r="C791" s="87"/>
      <c r="D791" s="87"/>
      <c r="E791" s="103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x14ac:dyDescent="0.2">
      <c r="A792" s="87"/>
      <c r="B792" s="87"/>
      <c r="C792" s="87"/>
      <c r="D792" s="87"/>
      <c r="E792" s="103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x14ac:dyDescent="0.2">
      <c r="A793" s="87"/>
      <c r="B793" s="87"/>
      <c r="C793" s="87"/>
      <c r="D793" s="87"/>
      <c r="E793" s="103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x14ac:dyDescent="0.2">
      <c r="A794" s="87"/>
      <c r="B794" s="87"/>
      <c r="C794" s="87"/>
      <c r="D794" s="87"/>
      <c r="E794" s="103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x14ac:dyDescent="0.2">
      <c r="A795" s="87"/>
      <c r="B795" s="87"/>
      <c r="C795" s="87"/>
      <c r="D795" s="87"/>
      <c r="E795" s="103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x14ac:dyDescent="0.2">
      <c r="A796" s="87"/>
      <c r="B796" s="87"/>
      <c r="C796" s="87"/>
      <c r="D796" s="87"/>
      <c r="E796" s="103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x14ac:dyDescent="0.2">
      <c r="A797" s="87"/>
      <c r="B797" s="87"/>
      <c r="C797" s="87"/>
      <c r="D797" s="87"/>
      <c r="E797" s="103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x14ac:dyDescent="0.2">
      <c r="A798" s="87"/>
      <c r="B798" s="87"/>
      <c r="C798" s="87"/>
      <c r="D798" s="87"/>
      <c r="E798" s="103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x14ac:dyDescent="0.2">
      <c r="A799" s="87"/>
      <c r="B799" s="87"/>
      <c r="C799" s="87"/>
      <c r="D799" s="87"/>
      <c r="E799" s="103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x14ac:dyDescent="0.2">
      <c r="A800" s="87"/>
      <c r="B800" s="87"/>
      <c r="C800" s="87"/>
      <c r="D800" s="87"/>
      <c r="E800" s="103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x14ac:dyDescent="0.2">
      <c r="A801" s="87"/>
      <c r="B801" s="87"/>
      <c r="C801" s="87"/>
      <c r="D801" s="87"/>
      <c r="E801" s="103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x14ac:dyDescent="0.2">
      <c r="A802" s="87"/>
      <c r="B802" s="87"/>
      <c r="C802" s="87"/>
      <c r="D802" s="87"/>
      <c r="E802" s="103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x14ac:dyDescent="0.2">
      <c r="A803" s="87"/>
      <c r="B803" s="87"/>
      <c r="C803" s="87"/>
      <c r="D803" s="87"/>
      <c r="E803" s="103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x14ac:dyDescent="0.2">
      <c r="A804" s="87"/>
      <c r="B804" s="87"/>
      <c r="C804" s="87"/>
      <c r="D804" s="87"/>
      <c r="E804" s="103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x14ac:dyDescent="0.2">
      <c r="A805" s="87"/>
      <c r="B805" s="87"/>
      <c r="C805" s="87"/>
      <c r="D805" s="87"/>
      <c r="E805" s="103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x14ac:dyDescent="0.2">
      <c r="A806" s="87"/>
      <c r="B806" s="87"/>
      <c r="C806" s="87"/>
      <c r="D806" s="87"/>
      <c r="E806" s="103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x14ac:dyDescent="0.2">
      <c r="A807" s="87"/>
      <c r="B807" s="87"/>
      <c r="C807" s="87"/>
      <c r="D807" s="87"/>
      <c r="E807" s="103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x14ac:dyDescent="0.2">
      <c r="A808" s="87"/>
      <c r="B808" s="87"/>
      <c r="C808" s="87"/>
      <c r="D808" s="87"/>
      <c r="E808" s="103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x14ac:dyDescent="0.2">
      <c r="A809" s="87"/>
      <c r="B809" s="87"/>
      <c r="C809" s="87"/>
      <c r="D809" s="87"/>
      <c r="E809" s="103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x14ac:dyDescent="0.2">
      <c r="A810" s="87"/>
      <c r="B810" s="87"/>
      <c r="C810" s="87"/>
      <c r="D810" s="87"/>
      <c r="E810" s="103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x14ac:dyDescent="0.2">
      <c r="A811" s="87"/>
      <c r="B811" s="87"/>
      <c r="C811" s="87"/>
      <c r="D811" s="87"/>
      <c r="E811" s="103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x14ac:dyDescent="0.2">
      <c r="A812" s="87"/>
      <c r="B812" s="87"/>
      <c r="C812" s="87"/>
      <c r="D812" s="87"/>
      <c r="E812" s="103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x14ac:dyDescent="0.2">
      <c r="A813" s="87"/>
      <c r="B813" s="87"/>
      <c r="C813" s="87"/>
      <c r="D813" s="87"/>
      <c r="E813" s="103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x14ac:dyDescent="0.2">
      <c r="A814" s="87"/>
      <c r="B814" s="87"/>
      <c r="C814" s="87"/>
      <c r="D814" s="87"/>
      <c r="E814" s="103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x14ac:dyDescent="0.2">
      <c r="A815" s="87"/>
      <c r="B815" s="87"/>
      <c r="C815" s="87"/>
      <c r="D815" s="87"/>
      <c r="E815" s="103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x14ac:dyDescent="0.2">
      <c r="A816" s="87"/>
      <c r="B816" s="87"/>
      <c r="C816" s="87"/>
      <c r="D816" s="87"/>
      <c r="E816" s="103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x14ac:dyDescent="0.2">
      <c r="A817" s="87"/>
      <c r="B817" s="87"/>
      <c r="C817" s="87"/>
      <c r="D817" s="87"/>
      <c r="E817" s="103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x14ac:dyDescent="0.2">
      <c r="A818" s="87"/>
      <c r="B818" s="87"/>
      <c r="C818" s="87"/>
      <c r="D818" s="87"/>
      <c r="E818" s="103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x14ac:dyDescent="0.2">
      <c r="A819" s="87"/>
      <c r="B819" s="87"/>
      <c r="C819" s="87"/>
      <c r="D819" s="87"/>
      <c r="E819" s="103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x14ac:dyDescent="0.2">
      <c r="A820" s="87"/>
      <c r="B820" s="87"/>
      <c r="C820" s="87"/>
      <c r="D820" s="87"/>
      <c r="E820" s="103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x14ac:dyDescent="0.2">
      <c r="A821" s="87"/>
      <c r="B821" s="87"/>
      <c r="C821" s="87"/>
      <c r="D821" s="87"/>
      <c r="E821" s="103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x14ac:dyDescent="0.2">
      <c r="A822" s="87"/>
      <c r="B822" s="87"/>
      <c r="C822" s="87"/>
      <c r="D822" s="87"/>
      <c r="E822" s="103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x14ac:dyDescent="0.2">
      <c r="A823" s="87"/>
      <c r="B823" s="87"/>
      <c r="C823" s="87"/>
      <c r="D823" s="87"/>
      <c r="E823" s="103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x14ac:dyDescent="0.2">
      <c r="A824" s="87"/>
      <c r="B824" s="87"/>
      <c r="C824" s="87"/>
      <c r="D824" s="87"/>
      <c r="E824" s="103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x14ac:dyDescent="0.2">
      <c r="A825" s="87"/>
      <c r="B825" s="87"/>
      <c r="C825" s="87"/>
      <c r="D825" s="87"/>
      <c r="E825" s="103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x14ac:dyDescent="0.2">
      <c r="A826" s="87"/>
      <c r="B826" s="87"/>
      <c r="C826" s="87"/>
      <c r="D826" s="87"/>
      <c r="E826" s="103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x14ac:dyDescent="0.2">
      <c r="A827" s="87"/>
      <c r="B827" s="87"/>
      <c r="C827" s="87"/>
      <c r="D827" s="87"/>
      <c r="E827" s="103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x14ac:dyDescent="0.2">
      <c r="A828" s="87"/>
      <c r="B828" s="87"/>
      <c r="C828" s="87"/>
      <c r="D828" s="87"/>
      <c r="E828" s="103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x14ac:dyDescent="0.2">
      <c r="A829" s="87"/>
      <c r="B829" s="87"/>
      <c r="C829" s="87"/>
      <c r="D829" s="87"/>
      <c r="E829" s="103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x14ac:dyDescent="0.2">
      <c r="A830" s="87"/>
      <c r="B830" s="87"/>
      <c r="C830" s="87"/>
      <c r="D830" s="87"/>
      <c r="E830" s="103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x14ac:dyDescent="0.2">
      <c r="A831" s="87"/>
      <c r="B831" s="87"/>
      <c r="C831" s="87"/>
      <c r="D831" s="87"/>
      <c r="E831" s="103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x14ac:dyDescent="0.2">
      <c r="A832" s="87"/>
      <c r="B832" s="87"/>
      <c r="C832" s="87"/>
      <c r="D832" s="87"/>
      <c r="E832" s="103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x14ac:dyDescent="0.2">
      <c r="A833" s="87"/>
      <c r="B833" s="87"/>
      <c r="C833" s="87"/>
      <c r="D833" s="87"/>
      <c r="E833" s="103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x14ac:dyDescent="0.2">
      <c r="A834" s="87"/>
      <c r="B834" s="87"/>
      <c r="C834" s="87"/>
      <c r="D834" s="87"/>
      <c r="E834" s="103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x14ac:dyDescent="0.2">
      <c r="A835" s="87"/>
      <c r="B835" s="87"/>
      <c r="C835" s="87"/>
      <c r="D835" s="87"/>
      <c r="E835" s="103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x14ac:dyDescent="0.2">
      <c r="A836" s="87"/>
      <c r="B836" s="87"/>
      <c r="C836" s="87"/>
      <c r="D836" s="87"/>
      <c r="E836" s="103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x14ac:dyDescent="0.2">
      <c r="A837" s="87"/>
      <c r="B837" s="87"/>
      <c r="C837" s="87"/>
      <c r="D837" s="87"/>
      <c r="E837" s="103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x14ac:dyDescent="0.2">
      <c r="A838" s="87"/>
      <c r="B838" s="87"/>
      <c r="C838" s="87"/>
      <c r="D838" s="87"/>
      <c r="E838" s="103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x14ac:dyDescent="0.2">
      <c r="A839" s="87"/>
      <c r="B839" s="87"/>
      <c r="C839" s="87"/>
      <c r="D839" s="87"/>
      <c r="E839" s="103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x14ac:dyDescent="0.2">
      <c r="A840" s="87"/>
      <c r="B840" s="87"/>
      <c r="C840" s="87"/>
      <c r="D840" s="87"/>
      <c r="E840" s="103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x14ac:dyDescent="0.2">
      <c r="A841" s="87"/>
      <c r="B841" s="87"/>
      <c r="C841" s="87"/>
      <c r="D841" s="87"/>
      <c r="E841" s="103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x14ac:dyDescent="0.2">
      <c r="A842" s="87"/>
      <c r="B842" s="87"/>
      <c r="C842" s="87"/>
      <c r="D842" s="87"/>
      <c r="E842" s="103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x14ac:dyDescent="0.2">
      <c r="A843" s="87"/>
      <c r="B843" s="87"/>
      <c r="C843" s="87"/>
      <c r="D843" s="87"/>
      <c r="E843" s="103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x14ac:dyDescent="0.2">
      <c r="A844" s="87"/>
      <c r="B844" s="87"/>
      <c r="C844" s="87"/>
      <c r="D844" s="87"/>
      <c r="E844" s="103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x14ac:dyDescent="0.2">
      <c r="A845" s="87"/>
      <c r="B845" s="87"/>
      <c r="C845" s="87"/>
      <c r="D845" s="87"/>
      <c r="E845" s="103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x14ac:dyDescent="0.2">
      <c r="A846" s="87"/>
      <c r="B846" s="87"/>
      <c r="C846" s="87"/>
      <c r="D846" s="87"/>
      <c r="E846" s="103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x14ac:dyDescent="0.2">
      <c r="A847" s="87"/>
      <c r="B847" s="87"/>
      <c r="C847" s="87"/>
      <c r="D847" s="87"/>
      <c r="E847" s="103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x14ac:dyDescent="0.2">
      <c r="A848" s="87"/>
      <c r="B848" s="87"/>
      <c r="C848" s="87"/>
      <c r="D848" s="87"/>
      <c r="E848" s="103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x14ac:dyDescent="0.2">
      <c r="A849" s="87"/>
      <c r="B849" s="87"/>
      <c r="C849" s="87"/>
      <c r="D849" s="87"/>
      <c r="E849" s="103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x14ac:dyDescent="0.2">
      <c r="A850" s="87"/>
      <c r="B850" s="87"/>
      <c r="C850" s="87"/>
      <c r="D850" s="87"/>
      <c r="E850" s="103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x14ac:dyDescent="0.2">
      <c r="A851" s="87"/>
      <c r="B851" s="87"/>
      <c r="C851" s="87"/>
      <c r="D851" s="87"/>
      <c r="E851" s="103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x14ac:dyDescent="0.2">
      <c r="A852" s="87"/>
      <c r="B852" s="87"/>
      <c r="C852" s="87"/>
      <c r="D852" s="87"/>
      <c r="E852" s="103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x14ac:dyDescent="0.2">
      <c r="A853" s="87"/>
      <c r="B853" s="87"/>
      <c r="C853" s="87"/>
      <c r="D853" s="87"/>
      <c r="E853" s="103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x14ac:dyDescent="0.2">
      <c r="A854" s="87"/>
      <c r="B854" s="87"/>
      <c r="C854" s="87"/>
      <c r="D854" s="87"/>
      <c r="E854" s="103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x14ac:dyDescent="0.2">
      <c r="A855" s="87"/>
      <c r="B855" s="87"/>
      <c r="C855" s="87"/>
      <c r="D855" s="87"/>
      <c r="E855" s="103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x14ac:dyDescent="0.2">
      <c r="A856" s="87"/>
      <c r="B856" s="87"/>
      <c r="C856" s="87"/>
      <c r="D856" s="87"/>
      <c r="E856" s="103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x14ac:dyDescent="0.2">
      <c r="A857" s="87"/>
      <c r="B857" s="87"/>
      <c r="C857" s="87"/>
      <c r="D857" s="87"/>
      <c r="E857" s="103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x14ac:dyDescent="0.2">
      <c r="A858" s="87"/>
      <c r="B858" s="87"/>
      <c r="C858" s="87"/>
      <c r="D858" s="87"/>
      <c r="E858" s="103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x14ac:dyDescent="0.2">
      <c r="A859" s="87"/>
      <c r="B859" s="87"/>
      <c r="C859" s="87"/>
      <c r="D859" s="87"/>
      <c r="E859" s="103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x14ac:dyDescent="0.2">
      <c r="A860" s="87"/>
      <c r="B860" s="87"/>
      <c r="C860" s="87"/>
      <c r="D860" s="87"/>
      <c r="E860" s="103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x14ac:dyDescent="0.2">
      <c r="A861" s="87"/>
      <c r="B861" s="87"/>
      <c r="C861" s="87"/>
      <c r="D861" s="87"/>
      <c r="E861" s="103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x14ac:dyDescent="0.2">
      <c r="A862" s="87"/>
      <c r="B862" s="87"/>
      <c r="C862" s="87"/>
      <c r="D862" s="87"/>
      <c r="E862" s="103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x14ac:dyDescent="0.2">
      <c r="A863" s="87"/>
      <c r="B863" s="87"/>
      <c r="C863" s="87"/>
      <c r="D863" s="87"/>
      <c r="E863" s="103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x14ac:dyDescent="0.2">
      <c r="A864" s="87"/>
      <c r="B864" s="87"/>
      <c r="C864" s="87"/>
      <c r="D864" s="87"/>
      <c r="E864" s="103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x14ac:dyDescent="0.2">
      <c r="A865" s="87"/>
      <c r="B865" s="87"/>
      <c r="C865" s="87"/>
      <c r="D865" s="87"/>
      <c r="E865" s="103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x14ac:dyDescent="0.2">
      <c r="A866" s="87"/>
      <c r="B866" s="87"/>
      <c r="C866" s="87"/>
      <c r="D866" s="87"/>
      <c r="E866" s="103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x14ac:dyDescent="0.2">
      <c r="A867" s="87"/>
      <c r="B867" s="87"/>
      <c r="C867" s="87"/>
      <c r="D867" s="87"/>
      <c r="E867" s="103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x14ac:dyDescent="0.2">
      <c r="A868" s="87"/>
      <c r="B868" s="87"/>
      <c r="C868" s="87"/>
      <c r="D868" s="87"/>
      <c r="E868" s="103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x14ac:dyDescent="0.2">
      <c r="A869" s="87"/>
      <c r="B869" s="87"/>
      <c r="C869" s="87"/>
      <c r="D869" s="87"/>
      <c r="E869" s="103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x14ac:dyDescent="0.2">
      <c r="A870" s="87"/>
      <c r="B870" s="87"/>
      <c r="C870" s="87"/>
      <c r="D870" s="87"/>
      <c r="E870" s="103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x14ac:dyDescent="0.2">
      <c r="A871" s="87"/>
      <c r="B871" s="87"/>
      <c r="C871" s="87"/>
      <c r="D871" s="87"/>
      <c r="E871" s="103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x14ac:dyDescent="0.2">
      <c r="A872" s="87"/>
      <c r="B872" s="87"/>
      <c r="C872" s="87"/>
      <c r="D872" s="87"/>
      <c r="E872" s="103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x14ac:dyDescent="0.2">
      <c r="A873" s="87"/>
      <c r="B873" s="87"/>
      <c r="C873" s="87"/>
      <c r="D873" s="87"/>
      <c r="E873" s="103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x14ac:dyDescent="0.2">
      <c r="A874" s="87"/>
      <c r="B874" s="87"/>
      <c r="C874" s="87"/>
      <c r="D874" s="87"/>
      <c r="E874" s="103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x14ac:dyDescent="0.2">
      <c r="A875" s="87"/>
      <c r="B875" s="87"/>
      <c r="C875" s="87"/>
      <c r="D875" s="87"/>
      <c r="E875" s="103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x14ac:dyDescent="0.2">
      <c r="A876" s="87"/>
      <c r="B876" s="87"/>
      <c r="C876" s="87"/>
      <c r="D876" s="87"/>
      <c r="E876" s="103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x14ac:dyDescent="0.2">
      <c r="A877" s="87"/>
      <c r="B877" s="87"/>
      <c r="C877" s="87"/>
      <c r="D877" s="87"/>
      <c r="E877" s="103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x14ac:dyDescent="0.2">
      <c r="A878" s="87"/>
      <c r="B878" s="87"/>
      <c r="C878" s="87"/>
      <c r="D878" s="87"/>
      <c r="E878" s="103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x14ac:dyDescent="0.2">
      <c r="A879" s="87"/>
      <c r="B879" s="87"/>
      <c r="C879" s="87"/>
      <c r="D879" s="87"/>
      <c r="E879" s="103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x14ac:dyDescent="0.2">
      <c r="A880" s="87"/>
      <c r="B880" s="87"/>
      <c r="C880" s="87"/>
      <c r="D880" s="87"/>
      <c r="E880" s="103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x14ac:dyDescent="0.2">
      <c r="A881" s="87"/>
      <c r="B881" s="87"/>
      <c r="C881" s="87"/>
      <c r="D881" s="87"/>
      <c r="E881" s="103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x14ac:dyDescent="0.2">
      <c r="A882" s="87"/>
      <c r="B882" s="87"/>
      <c r="C882" s="87"/>
      <c r="D882" s="87"/>
      <c r="E882" s="103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x14ac:dyDescent="0.2">
      <c r="A883" s="87"/>
      <c r="B883" s="87"/>
      <c r="C883" s="87"/>
      <c r="D883" s="87"/>
      <c r="E883" s="103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x14ac:dyDescent="0.2">
      <c r="A884" s="87"/>
      <c r="B884" s="87"/>
      <c r="C884" s="87"/>
      <c r="D884" s="87"/>
      <c r="E884" s="103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x14ac:dyDescent="0.2">
      <c r="A885" s="87"/>
      <c r="B885" s="87"/>
      <c r="C885" s="87"/>
      <c r="D885" s="87"/>
      <c r="E885" s="103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x14ac:dyDescent="0.2">
      <c r="A886" s="87"/>
      <c r="B886" s="87"/>
      <c r="C886" s="87"/>
      <c r="D886" s="87"/>
      <c r="E886" s="103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x14ac:dyDescent="0.2">
      <c r="A887" s="87"/>
      <c r="B887" s="87"/>
      <c r="C887" s="87"/>
      <c r="D887" s="87"/>
      <c r="E887" s="103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x14ac:dyDescent="0.2">
      <c r="A888" s="87"/>
      <c r="B888" s="87"/>
      <c r="C888" s="87"/>
      <c r="D888" s="87"/>
      <c r="E888" s="103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x14ac:dyDescent="0.2">
      <c r="A889" s="87"/>
      <c r="B889" s="87"/>
      <c r="C889" s="87"/>
      <c r="D889" s="87"/>
      <c r="E889" s="103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x14ac:dyDescent="0.2">
      <c r="A890" s="87"/>
      <c r="B890" s="87"/>
      <c r="C890" s="87"/>
      <c r="D890" s="87"/>
      <c r="E890" s="103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x14ac:dyDescent="0.2">
      <c r="A891" s="87"/>
      <c r="B891" s="87"/>
      <c r="C891" s="87"/>
      <c r="D891" s="87"/>
      <c r="E891" s="103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x14ac:dyDescent="0.2">
      <c r="A892" s="87"/>
      <c r="B892" s="87"/>
      <c r="C892" s="87"/>
      <c r="D892" s="87"/>
      <c r="E892" s="103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x14ac:dyDescent="0.2">
      <c r="A893" s="87"/>
      <c r="B893" s="87"/>
      <c r="C893" s="87"/>
      <c r="D893" s="87"/>
      <c r="E893" s="103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x14ac:dyDescent="0.2">
      <c r="A894" s="87"/>
      <c r="B894" s="87"/>
      <c r="C894" s="87"/>
      <c r="D894" s="87"/>
      <c r="E894" s="103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x14ac:dyDescent="0.2">
      <c r="A895" s="87"/>
      <c r="B895" s="87"/>
      <c r="C895" s="87"/>
      <c r="D895" s="87"/>
      <c r="E895" s="103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x14ac:dyDescent="0.2">
      <c r="A896" s="87"/>
      <c r="B896" s="87"/>
      <c r="C896" s="87"/>
      <c r="D896" s="87"/>
      <c r="E896" s="103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x14ac:dyDescent="0.2">
      <c r="A897" s="87"/>
      <c r="B897" s="87"/>
      <c r="C897" s="87"/>
      <c r="D897" s="87"/>
      <c r="E897" s="103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x14ac:dyDescent="0.2">
      <c r="A898" s="87"/>
      <c r="B898" s="87"/>
      <c r="C898" s="87"/>
      <c r="D898" s="87"/>
      <c r="E898" s="103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x14ac:dyDescent="0.2">
      <c r="A899" s="87"/>
      <c r="B899" s="87"/>
      <c r="C899" s="87"/>
      <c r="D899" s="87"/>
      <c r="E899" s="103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x14ac:dyDescent="0.2">
      <c r="A900" s="87"/>
      <c r="B900" s="87"/>
      <c r="C900" s="87"/>
      <c r="D900" s="87"/>
      <c r="E900" s="103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x14ac:dyDescent="0.2">
      <c r="A901" s="87"/>
      <c r="B901" s="87"/>
      <c r="C901" s="87"/>
      <c r="D901" s="87"/>
      <c r="E901" s="103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x14ac:dyDescent="0.2">
      <c r="A902" s="87"/>
      <c r="B902" s="87"/>
      <c r="C902" s="87"/>
      <c r="D902" s="87"/>
      <c r="E902" s="103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x14ac:dyDescent="0.2">
      <c r="A903" s="87"/>
      <c r="B903" s="87"/>
      <c r="C903" s="87"/>
      <c r="D903" s="87"/>
      <c r="E903" s="103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x14ac:dyDescent="0.2">
      <c r="A904" s="87"/>
      <c r="B904" s="87"/>
      <c r="C904" s="87"/>
      <c r="D904" s="87"/>
      <c r="E904" s="103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x14ac:dyDescent="0.2">
      <c r="A905" s="87"/>
      <c r="B905" s="87"/>
      <c r="C905" s="87"/>
      <c r="D905" s="87"/>
      <c r="E905" s="103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x14ac:dyDescent="0.2">
      <c r="A906" s="87"/>
      <c r="B906" s="87"/>
      <c r="C906" s="87"/>
      <c r="D906" s="87"/>
      <c r="E906" s="103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x14ac:dyDescent="0.2">
      <c r="A907" s="87"/>
      <c r="B907" s="87"/>
      <c r="C907" s="87"/>
      <c r="D907" s="87"/>
      <c r="E907" s="103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x14ac:dyDescent="0.2">
      <c r="A908" s="87"/>
      <c r="B908" s="87"/>
      <c r="C908" s="87"/>
      <c r="D908" s="87"/>
      <c r="E908" s="103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x14ac:dyDescent="0.2">
      <c r="A909" s="87"/>
      <c r="B909" s="87"/>
      <c r="C909" s="87"/>
      <c r="D909" s="87"/>
      <c r="E909" s="103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x14ac:dyDescent="0.2">
      <c r="A910" s="87"/>
      <c r="B910" s="87"/>
      <c r="C910" s="87"/>
      <c r="D910" s="87"/>
      <c r="E910" s="103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x14ac:dyDescent="0.2">
      <c r="A911" s="87"/>
      <c r="B911" s="87"/>
      <c r="C911" s="87"/>
      <c r="D911" s="87"/>
      <c r="E911" s="103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x14ac:dyDescent="0.2">
      <c r="A912" s="87"/>
      <c r="B912" s="87"/>
      <c r="C912" s="87"/>
      <c r="D912" s="87"/>
      <c r="E912" s="103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x14ac:dyDescent="0.2">
      <c r="A913" s="87"/>
      <c r="B913" s="87"/>
      <c r="C913" s="87"/>
      <c r="D913" s="87"/>
      <c r="E913" s="103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x14ac:dyDescent="0.2">
      <c r="A914" s="87"/>
      <c r="B914" s="87"/>
      <c r="C914" s="87"/>
      <c r="D914" s="87"/>
      <c r="E914" s="103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x14ac:dyDescent="0.2">
      <c r="A915" s="87"/>
      <c r="B915" s="87"/>
      <c r="C915" s="87"/>
      <c r="D915" s="87"/>
      <c r="E915" s="103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x14ac:dyDescent="0.2">
      <c r="A916" s="87"/>
      <c r="B916" s="87"/>
      <c r="C916" s="87"/>
      <c r="D916" s="87"/>
      <c r="E916" s="103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x14ac:dyDescent="0.2">
      <c r="A917" s="87"/>
      <c r="B917" s="87"/>
      <c r="C917" s="87"/>
      <c r="D917" s="87"/>
      <c r="E917" s="103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x14ac:dyDescent="0.2">
      <c r="A918" s="87"/>
      <c r="B918" s="87"/>
      <c r="C918" s="87"/>
      <c r="D918" s="87"/>
      <c r="E918" s="103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x14ac:dyDescent="0.2">
      <c r="A919" s="87"/>
      <c r="B919" s="87"/>
      <c r="C919" s="87"/>
      <c r="D919" s="87"/>
      <c r="E919" s="103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x14ac:dyDescent="0.2">
      <c r="A920" s="87"/>
      <c r="B920" s="87"/>
      <c r="C920" s="87"/>
      <c r="D920" s="87"/>
      <c r="E920" s="103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x14ac:dyDescent="0.2">
      <c r="A921" s="87"/>
      <c r="B921" s="87"/>
      <c r="C921" s="87"/>
      <c r="D921" s="87"/>
      <c r="E921" s="103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x14ac:dyDescent="0.2">
      <c r="A922" s="87"/>
      <c r="B922" s="87"/>
      <c r="C922" s="87"/>
      <c r="D922" s="87"/>
      <c r="E922" s="103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x14ac:dyDescent="0.2">
      <c r="A923" s="87"/>
      <c r="B923" s="87"/>
      <c r="C923" s="87"/>
      <c r="D923" s="87"/>
      <c r="E923" s="103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x14ac:dyDescent="0.2">
      <c r="A924" s="87"/>
      <c r="B924" s="87"/>
      <c r="C924" s="87"/>
      <c r="D924" s="87"/>
      <c r="E924" s="103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x14ac:dyDescent="0.2">
      <c r="A925" s="87"/>
      <c r="B925" s="87"/>
      <c r="C925" s="87"/>
      <c r="D925" s="87"/>
      <c r="E925" s="103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x14ac:dyDescent="0.2">
      <c r="A926" s="87"/>
      <c r="B926" s="87"/>
      <c r="C926" s="87"/>
      <c r="D926" s="87"/>
      <c r="E926" s="103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x14ac:dyDescent="0.2">
      <c r="A927" s="87"/>
      <c r="B927" s="87"/>
      <c r="C927" s="87"/>
      <c r="D927" s="87"/>
      <c r="E927" s="103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x14ac:dyDescent="0.2">
      <c r="A928" s="87"/>
      <c r="B928" s="87"/>
      <c r="C928" s="87"/>
      <c r="D928" s="87"/>
      <c r="E928" s="103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x14ac:dyDescent="0.2">
      <c r="A929" s="87"/>
      <c r="B929" s="87"/>
      <c r="C929" s="87"/>
      <c r="D929" s="87"/>
      <c r="E929" s="103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x14ac:dyDescent="0.2">
      <c r="A930" s="87"/>
      <c r="B930" s="87"/>
      <c r="C930" s="87"/>
      <c r="D930" s="87"/>
      <c r="E930" s="103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x14ac:dyDescent="0.2">
      <c r="A931" s="87"/>
      <c r="B931" s="87"/>
      <c r="C931" s="87"/>
      <c r="D931" s="87"/>
      <c r="E931" s="103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x14ac:dyDescent="0.2">
      <c r="A932" s="87"/>
      <c r="B932" s="87"/>
      <c r="C932" s="87"/>
      <c r="D932" s="87"/>
      <c r="E932" s="103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x14ac:dyDescent="0.2">
      <c r="A933" s="87"/>
      <c r="B933" s="87"/>
      <c r="C933" s="87"/>
      <c r="D933" s="87"/>
      <c r="E933" s="103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x14ac:dyDescent="0.2">
      <c r="A934" s="87"/>
      <c r="B934" s="87"/>
      <c r="C934" s="87"/>
      <c r="D934" s="87"/>
      <c r="E934" s="103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x14ac:dyDescent="0.2">
      <c r="A935" s="87"/>
      <c r="B935" s="87"/>
      <c r="C935" s="87"/>
      <c r="D935" s="87"/>
      <c r="E935" s="103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x14ac:dyDescent="0.2">
      <c r="A936" s="87"/>
      <c r="B936" s="87"/>
      <c r="C936" s="87"/>
      <c r="D936" s="87"/>
      <c r="E936" s="103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x14ac:dyDescent="0.2">
      <c r="A937" s="87"/>
      <c r="B937" s="87"/>
      <c r="C937" s="87"/>
      <c r="D937" s="87"/>
      <c r="E937" s="103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x14ac:dyDescent="0.2">
      <c r="A938" s="87"/>
      <c r="B938" s="87"/>
      <c r="C938" s="87"/>
      <c r="D938" s="87"/>
      <c r="E938" s="103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x14ac:dyDescent="0.2">
      <c r="A939" s="87"/>
      <c r="B939" s="87"/>
      <c r="C939" s="87"/>
      <c r="D939" s="87"/>
      <c r="E939" s="103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x14ac:dyDescent="0.2">
      <c r="A940" s="87"/>
      <c r="B940" s="87"/>
      <c r="C940" s="87"/>
      <c r="D940" s="87"/>
      <c r="E940" s="103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x14ac:dyDescent="0.2">
      <c r="A941" s="87"/>
      <c r="B941" s="87"/>
      <c r="C941" s="87"/>
      <c r="D941" s="87"/>
      <c r="E941" s="103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x14ac:dyDescent="0.2">
      <c r="A942" s="87"/>
      <c r="B942" s="87"/>
      <c r="C942" s="87"/>
      <c r="D942" s="87"/>
      <c r="E942" s="103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x14ac:dyDescent="0.2">
      <c r="A943" s="87"/>
      <c r="B943" s="87"/>
      <c r="C943" s="87"/>
      <c r="D943" s="87"/>
      <c r="E943" s="103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x14ac:dyDescent="0.2">
      <c r="A944" s="87"/>
      <c r="B944" s="87"/>
      <c r="C944" s="87"/>
      <c r="D944" s="87"/>
      <c r="E944" s="103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x14ac:dyDescent="0.2">
      <c r="A945" s="87"/>
      <c r="B945" s="87"/>
      <c r="C945" s="87"/>
      <c r="D945" s="87"/>
      <c r="E945" s="103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x14ac:dyDescent="0.2">
      <c r="A946" s="87"/>
      <c r="B946" s="87"/>
      <c r="C946" s="87"/>
      <c r="D946" s="87"/>
      <c r="E946" s="103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x14ac:dyDescent="0.2">
      <c r="A947" s="87"/>
      <c r="B947" s="87"/>
      <c r="C947" s="87"/>
      <c r="D947" s="87"/>
      <c r="E947" s="103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x14ac:dyDescent="0.2">
      <c r="A948" s="87"/>
      <c r="B948" s="87"/>
      <c r="C948" s="87"/>
      <c r="D948" s="87"/>
      <c r="E948" s="103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x14ac:dyDescent="0.2">
      <c r="A949" s="87"/>
      <c r="B949" s="87"/>
      <c r="C949" s="87"/>
      <c r="D949" s="87"/>
      <c r="E949" s="103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x14ac:dyDescent="0.2">
      <c r="A950" s="87"/>
      <c r="B950" s="87"/>
      <c r="C950" s="87"/>
      <c r="D950" s="87"/>
      <c r="E950" s="103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x14ac:dyDescent="0.2">
      <c r="A951" s="87"/>
      <c r="B951" s="87"/>
      <c r="C951" s="87"/>
      <c r="D951" s="87"/>
      <c r="E951" s="103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x14ac:dyDescent="0.2">
      <c r="A952" s="87"/>
      <c r="B952" s="87"/>
      <c r="C952" s="87"/>
      <c r="D952" s="87"/>
      <c r="E952" s="103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x14ac:dyDescent="0.2">
      <c r="A953" s="87"/>
      <c r="B953" s="87"/>
      <c r="C953" s="87"/>
      <c r="D953" s="87"/>
      <c r="E953" s="103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x14ac:dyDescent="0.2">
      <c r="A954" s="87"/>
      <c r="B954" s="87"/>
      <c r="C954" s="87"/>
      <c r="D954" s="87"/>
      <c r="E954" s="103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x14ac:dyDescent="0.2">
      <c r="A955" s="87"/>
      <c r="B955" s="87"/>
      <c r="C955" s="87"/>
      <c r="D955" s="87"/>
      <c r="E955" s="103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x14ac:dyDescent="0.2">
      <c r="A956" s="87"/>
      <c r="B956" s="87"/>
      <c r="C956" s="87"/>
      <c r="D956" s="87"/>
      <c r="E956" s="103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x14ac:dyDescent="0.2">
      <c r="A957" s="87"/>
      <c r="B957" s="87"/>
      <c r="C957" s="87"/>
      <c r="D957" s="87"/>
      <c r="E957" s="103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x14ac:dyDescent="0.2">
      <c r="A958" s="87"/>
      <c r="B958" s="87"/>
      <c r="C958" s="87"/>
      <c r="D958" s="87"/>
      <c r="E958" s="103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x14ac:dyDescent="0.2">
      <c r="A959" s="87"/>
      <c r="B959" s="87"/>
      <c r="C959" s="87"/>
      <c r="D959" s="87"/>
      <c r="E959" s="103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x14ac:dyDescent="0.2">
      <c r="A960" s="87"/>
      <c r="B960" s="87"/>
      <c r="C960" s="87"/>
      <c r="D960" s="87"/>
      <c r="E960" s="103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x14ac:dyDescent="0.2">
      <c r="A961" s="87"/>
      <c r="B961" s="87"/>
      <c r="C961" s="87"/>
      <c r="D961" s="87"/>
      <c r="E961" s="103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x14ac:dyDescent="0.2">
      <c r="A962" s="87"/>
      <c r="B962" s="87"/>
      <c r="C962" s="87"/>
      <c r="D962" s="87"/>
      <c r="E962" s="103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x14ac:dyDescent="0.2">
      <c r="A963" s="87"/>
      <c r="B963" s="87"/>
      <c r="C963" s="87"/>
      <c r="D963" s="87"/>
      <c r="E963" s="103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x14ac:dyDescent="0.2">
      <c r="A964" s="87"/>
      <c r="B964" s="87"/>
      <c r="C964" s="87"/>
      <c r="D964" s="87"/>
      <c r="E964" s="103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x14ac:dyDescent="0.2">
      <c r="A965" s="87"/>
      <c r="B965" s="87"/>
      <c r="C965" s="87"/>
      <c r="D965" s="87"/>
      <c r="E965" s="103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x14ac:dyDescent="0.2">
      <c r="A966" s="87"/>
      <c r="B966" s="87"/>
      <c r="C966" s="87"/>
      <c r="D966" s="87"/>
      <c r="E966" s="103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x14ac:dyDescent="0.2">
      <c r="A967" s="87"/>
      <c r="B967" s="87"/>
      <c r="C967" s="87"/>
      <c r="D967" s="87"/>
      <c r="E967" s="103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x14ac:dyDescent="0.2">
      <c r="A968" s="87"/>
      <c r="B968" s="87"/>
      <c r="C968" s="87"/>
      <c r="D968" s="87"/>
      <c r="E968" s="103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x14ac:dyDescent="0.2">
      <c r="A969" s="87"/>
      <c r="B969" s="87"/>
      <c r="C969" s="87"/>
      <c r="D969" s="87"/>
      <c r="E969" s="103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x14ac:dyDescent="0.2">
      <c r="A970" s="87"/>
      <c r="B970" s="87"/>
      <c r="C970" s="87"/>
      <c r="D970" s="87"/>
      <c r="E970" s="103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x14ac:dyDescent="0.2">
      <c r="A971" s="87"/>
      <c r="B971" s="87"/>
      <c r="C971" s="87"/>
      <c r="D971" s="87"/>
      <c r="E971" s="103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x14ac:dyDescent="0.2">
      <c r="A972" s="87"/>
      <c r="B972" s="87"/>
      <c r="C972" s="87"/>
      <c r="D972" s="87"/>
      <c r="E972" s="103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x14ac:dyDescent="0.2">
      <c r="A973" s="87"/>
      <c r="B973" s="87"/>
      <c r="C973" s="87"/>
      <c r="D973" s="87"/>
      <c r="E973" s="103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x14ac:dyDescent="0.2">
      <c r="A974" s="87"/>
      <c r="B974" s="87"/>
      <c r="C974" s="87"/>
      <c r="D974" s="87"/>
      <c r="E974" s="103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x14ac:dyDescent="0.2">
      <c r="A975" s="87"/>
      <c r="B975" s="87"/>
      <c r="C975" s="87"/>
      <c r="D975" s="87"/>
      <c r="E975" s="103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x14ac:dyDescent="0.2">
      <c r="A976" s="87"/>
      <c r="B976" s="87"/>
      <c r="C976" s="87"/>
      <c r="D976" s="87"/>
      <c r="E976" s="103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x14ac:dyDescent="0.2">
      <c r="A977" s="87"/>
      <c r="B977" s="87"/>
      <c r="C977" s="87"/>
      <c r="D977" s="87"/>
      <c r="E977" s="103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x14ac:dyDescent="0.2">
      <c r="A978" s="87"/>
      <c r="B978" s="87"/>
      <c r="C978" s="87"/>
      <c r="D978" s="87"/>
      <c r="E978" s="103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x14ac:dyDescent="0.2">
      <c r="A979" s="87"/>
      <c r="B979" s="87"/>
      <c r="C979" s="87"/>
      <c r="D979" s="87"/>
      <c r="E979" s="103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x14ac:dyDescent="0.2">
      <c r="A980" s="87"/>
      <c r="B980" s="87"/>
      <c r="C980" s="87"/>
      <c r="D980" s="87"/>
      <c r="E980" s="103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x14ac:dyDescent="0.2">
      <c r="A981" s="87"/>
      <c r="B981" s="87"/>
      <c r="C981" s="87"/>
      <c r="D981" s="87"/>
      <c r="E981" s="103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x14ac:dyDescent="0.2">
      <c r="A982" s="87"/>
      <c r="B982" s="87"/>
      <c r="C982" s="87"/>
      <c r="D982" s="87"/>
      <c r="E982" s="103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x14ac:dyDescent="0.2">
      <c r="A983" s="87"/>
      <c r="B983" s="87"/>
      <c r="C983" s="87"/>
      <c r="D983" s="87"/>
      <c r="E983" s="103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x14ac:dyDescent="0.2">
      <c r="A984" s="87"/>
      <c r="B984" s="87"/>
      <c r="C984" s="87"/>
      <c r="D984" s="87"/>
      <c r="E984" s="103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x14ac:dyDescent="0.2">
      <c r="A985" s="87"/>
      <c r="B985" s="87"/>
      <c r="C985" s="87"/>
      <c r="D985" s="87"/>
      <c r="E985" s="103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x14ac:dyDescent="0.2">
      <c r="A986" s="87"/>
      <c r="B986" s="87"/>
      <c r="C986" s="87"/>
      <c r="D986" s="87"/>
      <c r="E986" s="103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x14ac:dyDescent="0.2">
      <c r="A987" s="87"/>
      <c r="B987" s="87"/>
      <c r="C987" s="87"/>
      <c r="D987" s="87"/>
      <c r="E987" s="103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x14ac:dyDescent="0.2">
      <c r="A988" s="87"/>
      <c r="B988" s="87"/>
      <c r="C988" s="87"/>
      <c r="D988" s="87"/>
      <c r="E988" s="103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x14ac:dyDescent="0.2">
      <c r="A989" s="87"/>
      <c r="B989" s="87"/>
      <c r="C989" s="87"/>
      <c r="D989" s="87"/>
      <c r="E989" s="103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x14ac:dyDescent="0.2">
      <c r="A990" s="87"/>
      <c r="B990" s="87"/>
      <c r="C990" s="87"/>
      <c r="D990" s="87"/>
      <c r="E990" s="103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x14ac:dyDescent="0.2">
      <c r="A991" s="87"/>
      <c r="B991" s="87"/>
      <c r="C991" s="87"/>
      <c r="D991" s="87"/>
      <c r="E991" s="103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x14ac:dyDescent="0.2">
      <c r="A992" s="87"/>
      <c r="B992" s="87"/>
      <c r="C992" s="87"/>
      <c r="D992" s="87"/>
      <c r="E992" s="103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x14ac:dyDescent="0.2">
      <c r="A993" s="87"/>
      <c r="B993" s="87"/>
      <c r="C993" s="87"/>
      <c r="D993" s="87"/>
      <c r="E993" s="103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x14ac:dyDescent="0.2">
      <c r="A994" s="87"/>
      <c r="B994" s="87"/>
      <c r="C994" s="87"/>
      <c r="D994" s="87"/>
      <c r="E994" s="103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x14ac:dyDescent="0.2">
      <c r="A995" s="87"/>
      <c r="B995" s="87"/>
      <c r="C995" s="87"/>
      <c r="D995" s="87"/>
      <c r="E995" s="103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x14ac:dyDescent="0.2">
      <c r="A996" s="87"/>
      <c r="B996" s="87"/>
      <c r="C996" s="87"/>
      <c r="D996" s="87"/>
      <c r="E996" s="103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x14ac:dyDescent="0.2">
      <c r="A997" s="87"/>
      <c r="B997" s="87"/>
      <c r="C997" s="87"/>
      <c r="D997" s="87"/>
      <c r="E997" s="103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x14ac:dyDescent="0.2">
      <c r="A998" s="87"/>
      <c r="B998" s="87"/>
      <c r="C998" s="87"/>
      <c r="D998" s="87"/>
      <c r="E998" s="103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x14ac:dyDescent="0.2">
      <c r="A999" s="87"/>
      <c r="B999" s="87"/>
      <c r="C999" s="87"/>
      <c r="D999" s="87"/>
      <c r="E999" s="103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x14ac:dyDescent="0.2">
      <c r="A1000" s="87"/>
      <c r="B1000" s="87"/>
      <c r="C1000" s="87"/>
      <c r="D1000" s="87"/>
      <c r="E1000" s="46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mergeCells count="1">
    <mergeCell ref="A1:B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outlinePr summaryBelow="0" summaryRight="0"/>
  </sheetPr>
  <dimension ref="A1:N62"/>
  <sheetViews>
    <sheetView topLeftCell="C43" workbookViewId="0">
      <selection activeCell="M43" sqref="M43"/>
    </sheetView>
  </sheetViews>
  <sheetFormatPr baseColWidth="10" defaultColWidth="11.21875" defaultRowHeight="15" customHeight="1" x14ac:dyDescent="0.2"/>
  <cols>
    <col min="1" max="1" width="35.6640625" customWidth="1"/>
    <col min="13" max="13" width="33.33203125" customWidth="1"/>
  </cols>
  <sheetData>
    <row r="1" spans="1:14" ht="33" customHeight="1" x14ac:dyDescent="0.4">
      <c r="A1" s="190" t="s">
        <v>165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2"/>
    </row>
    <row r="2" spans="1:14" ht="15" customHeight="1" x14ac:dyDescent="0.25">
      <c r="A2" s="104"/>
      <c r="B2" s="105" t="s">
        <v>166</v>
      </c>
      <c r="C2" s="105" t="s">
        <v>167</v>
      </c>
      <c r="D2" s="105" t="s">
        <v>168</v>
      </c>
      <c r="E2" s="105" t="s">
        <v>169</v>
      </c>
      <c r="F2" s="105" t="s">
        <v>170</v>
      </c>
      <c r="G2" s="105" t="s">
        <v>171</v>
      </c>
      <c r="H2" s="105" t="s">
        <v>172</v>
      </c>
      <c r="I2" s="105" t="s">
        <v>173</v>
      </c>
      <c r="J2" s="105" t="s">
        <v>174</v>
      </c>
      <c r="K2" s="105" t="s">
        <v>175</v>
      </c>
      <c r="L2" s="105" t="s">
        <v>176</v>
      </c>
      <c r="M2" s="105" t="s">
        <v>177</v>
      </c>
      <c r="N2" s="105" t="s">
        <v>24</v>
      </c>
    </row>
    <row r="3" spans="1:14" ht="15" customHeight="1" x14ac:dyDescent="0.25">
      <c r="A3" s="106" t="s">
        <v>178</v>
      </c>
      <c r="B3" s="107" t="s">
        <v>15</v>
      </c>
      <c r="C3" s="108">
        <f t="shared" ref="C3:M3" si="0">B62</f>
        <v>-111126.24493759871</v>
      </c>
      <c r="D3" s="108">
        <f t="shared" si="0"/>
        <v>354798.81749677658</v>
      </c>
      <c r="E3" s="108">
        <f t="shared" si="0"/>
        <v>832334.4739574492</v>
      </c>
      <c r="F3" s="108">
        <f t="shared" si="0"/>
        <v>1321498.14033553</v>
      </c>
      <c r="G3" s="108">
        <f t="shared" si="0"/>
        <v>1822307.2586458623</v>
      </c>
      <c r="H3" s="108">
        <f t="shared" si="0"/>
        <v>2334779.2970663011</v>
      </c>
      <c r="I3" s="108">
        <f t="shared" si="0"/>
        <v>2721600.860280931</v>
      </c>
      <c r="J3" s="108">
        <f t="shared" si="0"/>
        <v>3257451.248303771</v>
      </c>
      <c r="K3" s="108">
        <f t="shared" si="0"/>
        <v>3805017.1183412969</v>
      </c>
      <c r="L3" s="108">
        <f t="shared" si="0"/>
        <v>4193617.6879292428</v>
      </c>
      <c r="M3" s="108">
        <f t="shared" si="0"/>
        <v>4764667.2680251002</v>
      </c>
      <c r="N3" s="108">
        <f t="shared" ref="N3:N24" si="1">SUM(B3:M3)</f>
        <v>25296945.925444663</v>
      </c>
    </row>
    <row r="4" spans="1:14" ht="15" customHeight="1" x14ac:dyDescent="0.25">
      <c r="A4" s="109" t="s">
        <v>179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>
        <f t="shared" si="1"/>
        <v>0</v>
      </c>
    </row>
    <row r="5" spans="1:14" ht="15" customHeight="1" x14ac:dyDescent="0.25">
      <c r="A5" s="110" t="s">
        <v>180</v>
      </c>
      <c r="B5" s="111">
        <v>15000000</v>
      </c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>
        <f t="shared" si="1"/>
        <v>15000000</v>
      </c>
    </row>
    <row r="6" spans="1:14" ht="15" customHeight="1" x14ac:dyDescent="0.25">
      <c r="A6" s="110" t="s">
        <v>181</v>
      </c>
      <c r="B6" s="111">
        <v>25000000</v>
      </c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>
        <f t="shared" si="1"/>
        <v>25000000</v>
      </c>
    </row>
    <row r="7" spans="1:14" ht="15" customHeight="1" x14ac:dyDescent="0.25">
      <c r="A7" s="110" t="s">
        <v>182</v>
      </c>
      <c r="B7" s="108">
        <f>'Proyección de ventas'!$F$3*'Costos variables de producción'!$E$20</f>
        <v>6731449.7300000004</v>
      </c>
      <c r="C7" s="108">
        <f>'Proyección de ventas'!$F$4*'Costos variables de producción'!$E$20</f>
        <v>6741546.9045950007</v>
      </c>
      <c r="D7" s="108">
        <f>'Proyección de ventas'!$F$5*'Costos variables de producción'!$E$20</f>
        <v>6751659.2249518931</v>
      </c>
      <c r="E7" s="108">
        <f>'Proyección de ventas'!$F$6*'Costos variables de producción'!$E$20</f>
        <v>6761786.7137893224</v>
      </c>
      <c r="F7" s="108">
        <f>'Proyección de ventas'!$F$7*'Costos variables de producción'!$E$20</f>
        <v>6771929.3938600067</v>
      </c>
      <c r="G7" s="108">
        <f>'Proyección de ventas'!$F$8*'Costos variables de producción'!$E$20</f>
        <v>6782087.287950797</v>
      </c>
      <c r="H7" s="108">
        <f>'Proyección de ventas'!$F$9*'Costos variables de producción'!$E$20</f>
        <v>6792260.4188827239</v>
      </c>
      <c r="I7" s="108">
        <f>'Proyección de ventas'!$F$10*'Costos variables de producción'!$E$20</f>
        <v>6802448.8095110487</v>
      </c>
      <c r="J7" s="108">
        <f>'Proyección de ventas'!$F$11*'Costos variables de producción'!$E$20</f>
        <v>6812652.4827253148</v>
      </c>
      <c r="K7" s="108">
        <f>'Proyección de ventas'!$F$12*'Costos variables de producción'!$E$20</f>
        <v>6822871.4614494033</v>
      </c>
      <c r="L7" s="108">
        <f>'Proyección de ventas'!$F$13*'Costos variables de producción'!$E$20</f>
        <v>6833105.7686415771</v>
      </c>
      <c r="M7" s="108">
        <f>'Proyección de ventas'!$F$14*'Costos variables de producción'!$E$20</f>
        <v>6843355.4272945393</v>
      </c>
      <c r="N7" s="108">
        <f t="shared" si="1"/>
        <v>81447153.623651624</v>
      </c>
    </row>
    <row r="8" spans="1:14" ht="15" customHeight="1" x14ac:dyDescent="0.25">
      <c r="A8" s="112" t="s">
        <v>183</v>
      </c>
      <c r="B8" s="108">
        <f>'Proyección de ventas'!$G$3*'Costos variables de producción'!$E$22</f>
        <v>48011336.000000007</v>
      </c>
      <c r="C8" s="108">
        <f>'Proyección de ventas'!$G$4*'Costos variables de producción'!$E$22</f>
        <v>48083353.004000016</v>
      </c>
      <c r="D8" s="108">
        <f>'Proyección de ventas'!$G$5*'Costos variables de producción'!$E$22</f>
        <v>48155478.033506013</v>
      </c>
      <c r="E8" s="108">
        <f>'Proyección de ventas'!$G$6*'Costos variables de producción'!$E$22</f>
        <v>48227711.250556275</v>
      </c>
      <c r="F8" s="108">
        <f>'Proyección de ventas'!$G$7*'Costos variables de producción'!$E$22</f>
        <v>48300052.817432113</v>
      </c>
      <c r="G8" s="108">
        <f>'Proyección de ventas'!$G$8*'Costos variables de producción'!$E$22</f>
        <v>48372502.896658264</v>
      </c>
      <c r="H8" s="108">
        <f>'Proyección de ventas'!$G$9*'Costos variables de producción'!$E$22</f>
        <v>48445061.651003249</v>
      </c>
      <c r="I8" s="108">
        <f>'Proyección de ventas'!$G$10*'Costos variables de producción'!$E$22</f>
        <v>48517729.243479759</v>
      </c>
      <c r="J8" s="108">
        <f>'Proyección de ventas'!$G$11*'Costos variables de producción'!$E$22</f>
        <v>48590505.837344982</v>
      </c>
      <c r="K8" s="108">
        <f>'Proyección de ventas'!$G$12*'Costos variables de producción'!$E$22</f>
        <v>48663391.596101001</v>
      </c>
      <c r="L8" s="108">
        <f>'Proyección de ventas'!$G$13*'Costos variables de producción'!$E$22</f>
        <v>48736386.683495156</v>
      </c>
      <c r="M8" s="108">
        <f>'Proyección de ventas'!$G$14*'Costos variables de producción'!$E$22</f>
        <v>48809491.263520397</v>
      </c>
      <c r="N8" s="108">
        <f t="shared" si="1"/>
        <v>580913000.27709723</v>
      </c>
    </row>
    <row r="9" spans="1:14" ht="15" customHeight="1" x14ac:dyDescent="0.25">
      <c r="A9" s="112" t="s">
        <v>184</v>
      </c>
      <c r="B9" s="108">
        <f>'Proyección de ventas'!$H$3*'Costos variables de producción'!$E$21</f>
        <v>15980129.25</v>
      </c>
      <c r="C9" s="108">
        <f>'Proyección de ventas'!$H$4*'Costos variables de producción'!$E$21</f>
        <v>16004099.443875002</v>
      </c>
      <c r="D9" s="108">
        <f>'Proyección de ventas'!$H$5*'Costos variables de producción'!$E$21</f>
        <v>16028105.593040815</v>
      </c>
      <c r="E9" s="108">
        <f>'Proyección de ventas'!$H$6*'Costos variables de producción'!$E$21</f>
        <v>16052147.751430379</v>
      </c>
      <c r="F9" s="108">
        <f>'Proyección de ventas'!$H$7*'Costos variables de producción'!$E$21</f>
        <v>16076225.973057525</v>
      </c>
      <c r="G9" s="108">
        <f>'Proyección de ventas'!$H$8*'Costos variables de producción'!$E$21</f>
        <v>16100340.312017113</v>
      </c>
      <c r="H9" s="108">
        <f>'Proyección de ventas'!$H$9*'Costos variables de producción'!$E$21</f>
        <v>16124490.82248514</v>
      </c>
      <c r="I9" s="108">
        <f>'Proyección de ventas'!$H$10*'Costos variables de producción'!$E$21</f>
        <v>16148677.558718868</v>
      </c>
      <c r="J9" s="108">
        <f>'Proyección de ventas'!$H$11*'Costos variables de producción'!$E$21</f>
        <v>16172900.575056948</v>
      </c>
      <c r="K9" s="108">
        <f>'Proyección de ventas'!H12*'Costos variables de producción'!$E$21</f>
        <v>16197159.925919533</v>
      </c>
      <c r="L9" s="108">
        <f>'Proyección de ventas'!$H$13*'Costos variables de producción'!$E$21</f>
        <v>16221455.665808415</v>
      </c>
      <c r="M9" s="108">
        <f>'Proyección de ventas'!$H$14*'Costos variables de producción'!$E$21</f>
        <v>16245787.849307127</v>
      </c>
      <c r="N9" s="108">
        <f t="shared" si="1"/>
        <v>193351520.72071683</v>
      </c>
    </row>
    <row r="10" spans="1:14" ht="15" customHeight="1" x14ac:dyDescent="0.25">
      <c r="A10" s="112" t="s">
        <v>185</v>
      </c>
      <c r="B10" s="108">
        <f>'Proyección de ventas'!$I$3*'Costos variables de producción'!$E$23</f>
        <v>50076096</v>
      </c>
      <c r="C10" s="108">
        <f>'Proyección de ventas'!$I$4*'Costos variables de producción'!$E$23</f>
        <v>50151210.144000009</v>
      </c>
      <c r="D10" s="108">
        <f>'Proyección de ventas'!$I$5*'Costos variables de producción'!$E$23</f>
        <v>50226436.959216014</v>
      </c>
      <c r="E10" s="108">
        <f>'Proyección de ventas'!$I$6*'Costos variables de producción'!$E$23</f>
        <v>50301776.614654839</v>
      </c>
      <c r="F10" s="108">
        <f>'Proyección de ventas'!$I$7*'Costos variables de producción'!$E$23</f>
        <v>50377229.279576823</v>
      </c>
      <c r="G10" s="108">
        <f>'Proyección de ventas'!$I$8*'Costos variables de producción'!$E$23</f>
        <v>50452795.12349619</v>
      </c>
      <c r="H10" s="108">
        <f>'Proyección de ventas'!$I$9*'Costos variables de producción'!$E$23</f>
        <v>50528474.316181436</v>
      </c>
      <c r="I10" s="108">
        <f>'Proyección de ventas'!$I$10*'Costos variables de producción'!$E$23</f>
        <v>50604267.027655713</v>
      </c>
      <c r="J10" s="108">
        <f>'Proyección de ventas'!$I$11*'Costos variables de producción'!$E$23</f>
        <v>50680173.428197205</v>
      </c>
      <c r="K10" s="108">
        <f>'Proyección de ventas'!$I$12*'Costos variables de producción'!$E$23</f>
        <v>50756193.688339502</v>
      </c>
      <c r="L10" s="108">
        <f>'Proyección de ventas'!$I$13*'Costos variables de producción'!$E$23</f>
        <v>50832327.978872024</v>
      </c>
      <c r="M10" s="108">
        <f>'Proyección de ventas'!$I$14*'Costos variables de producción'!$E$23</f>
        <v>50908576.470840327</v>
      </c>
      <c r="N10" s="108">
        <f t="shared" si="1"/>
        <v>605895557.03103006</v>
      </c>
    </row>
    <row r="11" spans="1:14" ht="15" customHeight="1" x14ac:dyDescent="0.25">
      <c r="A11" s="110" t="s">
        <v>186</v>
      </c>
      <c r="B11" s="108">
        <f>'Proyección de ventas'!$J$3*'Costos variables de producción'!$E$24</f>
        <v>94437470.833333328</v>
      </c>
      <c r="C11" s="108">
        <f>'Proyección de ventas'!$J$4*'Costos variables de producción'!$E$24</f>
        <v>94579127.039583325</v>
      </c>
      <c r="D11" s="108">
        <f>'Proyección de ventas'!$J$5*'Costos variables de producción'!$E$24</f>
        <v>94720995.730142713</v>
      </c>
      <c r="E11" s="108">
        <f>'Proyección de ventas'!$J$6*'Costos variables de producción'!$E$24</f>
        <v>94863077.223737925</v>
      </c>
      <c r="F11" s="108">
        <f>'Proyección de ventas'!$J$7*'Costos variables de producción'!$E$24</f>
        <v>95005371.839573547</v>
      </c>
      <c r="G11" s="108">
        <f>'Proyección de ventas'!$J$8*'Costos variables de producción'!$E$24</f>
        <v>95147879.897332907</v>
      </c>
      <c r="H11" s="108">
        <f>'Proyección de ventas'!$J$9*'Costos variables de producción'!$E$24</f>
        <v>95290601.717178911</v>
      </c>
      <c r="I11" s="108">
        <f>'Proyección de ventas'!$J$10*'Costos variables de producción'!$E$24</f>
        <v>95433537.619754672</v>
      </c>
      <c r="J11" s="108">
        <f>'Proyección de ventas'!$J$11*'Costos variables de producción'!$E$24</f>
        <v>95576687.926184312</v>
      </c>
      <c r="K11" s="108">
        <f>'Proyección de ventas'!$J$12*'Costos variables de producción'!$E$24</f>
        <v>95720052.958073586</v>
      </c>
      <c r="L11" s="108">
        <f>'Proyección de ventas'!$J$13*'Costos variables de producción'!$E$24</f>
        <v>95863633.037510693</v>
      </c>
      <c r="M11" s="108">
        <f>'Proyección de ventas'!$J$14*'Costos variables de producción'!$E$24</f>
        <v>96007428.487066969</v>
      </c>
      <c r="N11" s="108">
        <f t="shared" si="1"/>
        <v>1142645864.309473</v>
      </c>
    </row>
    <row r="12" spans="1:14" ht="15" customHeight="1" x14ac:dyDescent="0.25">
      <c r="A12" s="105" t="s">
        <v>187</v>
      </c>
      <c r="B12" s="113">
        <f t="shared" ref="B12:M12" si="2">SUM(B3:B11)</f>
        <v>255236481.81333333</v>
      </c>
      <c r="C12" s="113">
        <f t="shared" si="2"/>
        <v>215448210.29111576</v>
      </c>
      <c r="D12" s="113">
        <f t="shared" si="2"/>
        <v>216237474.35835421</v>
      </c>
      <c r="E12" s="113">
        <f t="shared" si="2"/>
        <v>217038834.02812618</v>
      </c>
      <c r="F12" s="113">
        <f t="shared" si="2"/>
        <v>217852307.44383556</v>
      </c>
      <c r="G12" s="113">
        <f t="shared" si="2"/>
        <v>218677912.77610111</v>
      </c>
      <c r="H12" s="113">
        <f t="shared" si="2"/>
        <v>219515668.22279775</v>
      </c>
      <c r="I12" s="113">
        <f t="shared" si="2"/>
        <v>220228261.11940101</v>
      </c>
      <c r="J12" s="113">
        <f t="shared" si="2"/>
        <v>221090371.49781251</v>
      </c>
      <c r="K12" s="113">
        <f t="shared" si="2"/>
        <v>221964686.74822432</v>
      </c>
      <c r="L12" s="113">
        <f t="shared" si="2"/>
        <v>222680526.8222571</v>
      </c>
      <c r="M12" s="113">
        <f t="shared" si="2"/>
        <v>223579306.76605445</v>
      </c>
      <c r="N12" s="114">
        <f t="shared" si="1"/>
        <v>2669550041.8874135</v>
      </c>
    </row>
    <row r="13" spans="1:14" ht="15" customHeight="1" x14ac:dyDescent="0.25">
      <c r="A13" s="109" t="s">
        <v>188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>
        <f t="shared" si="1"/>
        <v>0</v>
      </c>
    </row>
    <row r="14" spans="1:14" ht="15" customHeight="1" x14ac:dyDescent="0.25">
      <c r="A14" s="115" t="s">
        <v>189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>
        <f t="shared" si="1"/>
        <v>0</v>
      </c>
    </row>
    <row r="15" spans="1:14" ht="15" customHeight="1" x14ac:dyDescent="0.25">
      <c r="A15" s="116" t="s">
        <v>190</v>
      </c>
      <c r="B15" s="108">
        <f>'Proyección de ventas'!$F$3*'Costos variables de producción'!$F$20</f>
        <v>3719033</v>
      </c>
      <c r="C15" s="108">
        <f>'Proyección de ventas'!$F$4*'Costos variables de producción'!$F$20</f>
        <v>3724611.5494999997</v>
      </c>
      <c r="D15" s="108">
        <f>'Proyección de ventas'!$F$5*'Costos variables de producción'!$F$20</f>
        <v>3730198.4668242503</v>
      </c>
      <c r="E15" s="108">
        <f>'Proyección de ventas'!$F$6*'Costos variables de producción'!$F$20</f>
        <v>3735793.7645244868</v>
      </c>
      <c r="F15" s="108">
        <f>'Proyección de ventas'!$F$7*'Costos variables de producción'!$F$20</f>
        <v>3741397.455171274</v>
      </c>
      <c r="G15" s="108">
        <f>'Proyección de ventas'!$F$8*'Costos variables de producción'!$F$20</f>
        <v>3747009.5513540311</v>
      </c>
      <c r="H15" s="108">
        <f>'Proyección de ventas'!$F$9*'Costos variables de producción'!$F$20</f>
        <v>3752630.0656810626</v>
      </c>
      <c r="I15" s="108">
        <f>'Proyección de ventas'!$F$10*'Costos variables de producción'!$F$20</f>
        <v>3758259.0107795843</v>
      </c>
      <c r="J15" s="108">
        <f>'Proyección de ventas'!$F$11*'Costos variables de producción'!$F$20</f>
        <v>3763896.3992957538</v>
      </c>
      <c r="K15" s="108">
        <f>'Proyección de ventas'!$F$12*'Costos variables de producción'!$F$20</f>
        <v>3769542.2438946976</v>
      </c>
      <c r="L15" s="108">
        <f>'Proyección de ventas'!$F$13*'Costos variables de producción'!$F$20</f>
        <v>3775196.5572605394</v>
      </c>
      <c r="M15" s="108">
        <f>'Proyección de ventas'!$F$14*'Costos variables de producción'!$F$20</f>
        <v>3780859.3520964305</v>
      </c>
      <c r="N15" s="108">
        <f t="shared" si="1"/>
        <v>44998427.416382112</v>
      </c>
    </row>
    <row r="16" spans="1:14" ht="15" customHeight="1" x14ac:dyDescent="0.25">
      <c r="A16" s="116" t="s">
        <v>191</v>
      </c>
      <c r="B16" s="108">
        <f>'Proyección de ventas'!$G$3*'Costos variables de producción'!$F$22</f>
        <v>47992511.999999993</v>
      </c>
      <c r="C16" s="108">
        <f>'Proyección de ventas'!$G$4*'Costos variables de producción'!$F$22</f>
        <v>48064500.767999999</v>
      </c>
      <c r="D16" s="108">
        <f>'Proyección de ventas'!$G$5*'Costos variables de producción'!$F$22</f>
        <v>48136597.519152001</v>
      </c>
      <c r="E16" s="108">
        <f>'Proyección de ventas'!$G$6*'Costos variables de producción'!$F$22</f>
        <v>48208802.415430725</v>
      </c>
      <c r="F16" s="108">
        <f>'Proyección de ventas'!$G$7*'Costos variables de producción'!$F$22</f>
        <v>48281115.619053878</v>
      </c>
      <c r="G16" s="108">
        <f>'Proyección de ventas'!$G$8*'Costos variables de producción'!$F$22</f>
        <v>48353537.292482458</v>
      </c>
      <c r="H16" s="108">
        <f>'Proyección de ventas'!$G$9*'Costos variables de producción'!$F$22</f>
        <v>48426067.598421186</v>
      </c>
      <c r="I16" s="108">
        <f>'Proyección de ventas'!$G$10*'Costos variables de producción'!$F$22</f>
        <v>48498706.69981882</v>
      </c>
      <c r="J16" s="108">
        <f>'Proyección de ventas'!$G$11*'Costos variables de producción'!$F$22</f>
        <v>48571454.759868547</v>
      </c>
      <c r="K16" s="108">
        <f>'Proyección de ventas'!$G$12*'Costos variables de producción'!$F$22</f>
        <v>48644311.942008354</v>
      </c>
      <c r="L16" s="108">
        <f>'Proyección de ventas'!$G$13*'Costos variables de producción'!$F$22</f>
        <v>48717278.40992137</v>
      </c>
      <c r="M16" s="108">
        <f>'Proyección de ventas'!$G$14*'Costos variables de producción'!$F$22</f>
        <v>48790354.327536255</v>
      </c>
      <c r="N16" s="108">
        <f t="shared" si="1"/>
        <v>580685239.35169363</v>
      </c>
    </row>
    <row r="17" spans="1:14" ht="15" customHeight="1" x14ac:dyDescent="0.25">
      <c r="A17" s="116" t="s">
        <v>192</v>
      </c>
      <c r="B17" s="108">
        <f>'Proyección de ventas'!$H$3*'Costos variables de producción'!$F$21</f>
        <v>15967121.999999998</v>
      </c>
      <c r="C17" s="108">
        <f>'Proyección de ventas'!$H$4*'Costos variables de producción'!$F$21</f>
        <v>15991072.683</v>
      </c>
      <c r="D17" s="108">
        <f>'Proyección de ventas'!$H$5*'Costos variables de producción'!$F$21</f>
        <v>16015059.292024501</v>
      </c>
      <c r="E17" s="108">
        <f>'Proyección de ventas'!$H$6*'Costos variables de producción'!$F$21</f>
        <v>16039081.880962539</v>
      </c>
      <c r="F17" s="108">
        <f>'Proyección de ventas'!$H$7*'Costos variables de producción'!$F$21</f>
        <v>16063140.503783986</v>
      </c>
      <c r="G17" s="108">
        <f>'Proyección de ventas'!$H$8*'Costos variables de producción'!$F$21</f>
        <v>16087235.214539662</v>
      </c>
      <c r="H17" s="108">
        <f>'Proyección de ventas'!$H$9*'Costos variables de producción'!$F$21</f>
        <v>16111366.067361474</v>
      </c>
      <c r="I17" s="108">
        <f>'Proyección de ventas'!$H$10*'Costos variables de producción'!$F$21</f>
        <v>16135533.116462516</v>
      </c>
      <c r="J17" s="108">
        <f>'Proyección de ventas'!$H$11*'Costos variables de producción'!$F$21</f>
        <v>16159736.416137211</v>
      </c>
      <c r="K17" s="108">
        <f>'Proyección de ventas'!H20*'Costos variables de producción'!$F$21</f>
        <v>16354674.376448745</v>
      </c>
      <c r="L17" s="108">
        <f>'Proyección de ventas'!$H$13*'Costos variables de producción'!$F$21</f>
        <v>16208251.98479256</v>
      </c>
      <c r="M17" s="108">
        <f>'Proyección de ventas'!$H$14*'Costos variables de producción'!$F$21</f>
        <v>16232564.362769749</v>
      </c>
      <c r="N17" s="108">
        <f t="shared" si="1"/>
        <v>193364837.89828295</v>
      </c>
    </row>
    <row r="18" spans="1:14" ht="15" customHeight="1" x14ac:dyDescent="0.25">
      <c r="A18" s="116" t="s">
        <v>193</v>
      </c>
      <c r="B18" s="108">
        <f>'Proyección de ventas'!$I$3*'Costos variables de producción'!$F$23</f>
        <v>50064011.999999993</v>
      </c>
      <c r="C18" s="108">
        <f>'Proyección de ventas'!$I$4*'Costos variables de producción'!$F$23</f>
        <v>50139108.017999999</v>
      </c>
      <c r="D18" s="108">
        <f>'Proyección de ventas'!$I$5*'Costos variables de producción'!$F$23</f>
        <v>50214316.680027008</v>
      </c>
      <c r="E18" s="108">
        <f>'Proyección de ventas'!$I$6*'Costos variables de producción'!$F$23</f>
        <v>50289638.155047044</v>
      </c>
      <c r="F18" s="108">
        <f>'Proyección de ventas'!$I$7*'Costos variables de producción'!$F$23</f>
        <v>50365072.612279624</v>
      </c>
      <c r="G18" s="108">
        <f>'Proyección de ventas'!$I$8*'Costos variables de producción'!$F$23</f>
        <v>50440620.221198037</v>
      </c>
      <c r="H18" s="108">
        <f>'Proyección de ventas'!$I$9*'Costos variables de producción'!$F$23</f>
        <v>50516281.151529841</v>
      </c>
      <c r="I18" s="108">
        <f>'Proyección de ventas'!$I$10*'Costos variables de producción'!$F$23</f>
        <v>50592055.573257141</v>
      </c>
      <c r="J18" s="108">
        <f>'Proyección de ventas'!$I$11*'Costos variables de producción'!$F$23</f>
        <v>50667943.656617031</v>
      </c>
      <c r="K18" s="108">
        <f>'Proyección de ventas'!$I$12*'Costos variables de producción'!$F$23</f>
        <v>50743945.572101966</v>
      </c>
      <c r="L18" s="108">
        <f>'Proyección de ventas'!$I$13*'Costos variables de producción'!$F$23</f>
        <v>50820061.49046012</v>
      </c>
      <c r="M18" s="108">
        <f>'Proyección de ventas'!$I$14*'Costos variables de producción'!$F$23</f>
        <v>50896291.582695812</v>
      </c>
      <c r="N18" s="108">
        <f t="shared" si="1"/>
        <v>605749346.71321368</v>
      </c>
    </row>
    <row r="19" spans="1:14" ht="15" customHeight="1" x14ac:dyDescent="0.25">
      <c r="A19" s="116" t="s">
        <v>194</v>
      </c>
      <c r="B19" s="108">
        <f>'Proyección de ventas'!$J$3*'Costos variables de producción'!$F$24</f>
        <v>89765000</v>
      </c>
      <c r="C19" s="108">
        <f>'Proyección de ventas'!$J$4*'Costos variables de producción'!$F$24</f>
        <v>89899647.5</v>
      </c>
      <c r="D19" s="108">
        <f>'Proyección de ventas'!$J$5*'Costos variables de producción'!$F$24</f>
        <v>90034496.971250013</v>
      </c>
      <c r="E19" s="108">
        <f>'Proyección de ventas'!$J$6*'Costos variables de producción'!$F$24</f>
        <v>90169548.716706887</v>
      </c>
      <c r="F19" s="108">
        <f>'Proyección de ventas'!$J$7*'Costos variables de producción'!$F$24</f>
        <v>90304803.039781958</v>
      </c>
      <c r="G19" s="108">
        <f>'Proyección de ventas'!$J$8*'Costos variables de producción'!$F$24</f>
        <v>90440260.244341642</v>
      </c>
      <c r="H19" s="108">
        <f>'Proyección de ventas'!$J$9*'Costos variables de producción'!$F$24</f>
        <v>90575920.634708151</v>
      </c>
      <c r="I19" s="108">
        <f>'Proyección de ventas'!$J$10*'Costos variables de producción'!$F$24</f>
        <v>90711784.515660211</v>
      </c>
      <c r="J19" s="108">
        <f>'Proyección de ventas'!$J$11*'Costos variables de producción'!$F$24</f>
        <v>90847852.1924337</v>
      </c>
      <c r="K19" s="108">
        <f>'Proyección de ventas'!$J$12*'Costos variables de producción'!$F$24</f>
        <v>90984123.970722347</v>
      </c>
      <c r="L19" s="108">
        <f>'Proyección de ventas'!$J$13*'Costos variables de producción'!$F$24</f>
        <v>91120600.156678438</v>
      </c>
      <c r="M19" s="108">
        <f>'Proyección de ventas'!$J$14*'Costos variables de producción'!$F$24</f>
        <v>91257281.056913465</v>
      </c>
      <c r="N19" s="108">
        <f t="shared" si="1"/>
        <v>1086111318.9991968</v>
      </c>
    </row>
    <row r="20" spans="1:14" ht="15" customHeight="1" x14ac:dyDescent="0.25">
      <c r="A20" s="115" t="s">
        <v>119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>
        <f t="shared" si="1"/>
        <v>0</v>
      </c>
    </row>
    <row r="21" spans="1:14" ht="15" customHeight="1" x14ac:dyDescent="0.25">
      <c r="A21" s="117" t="s">
        <v>120</v>
      </c>
      <c r="B21" s="108">
        <f>'Inversión  Inicial'!C25</f>
        <v>300000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>
        <f t="shared" si="1"/>
        <v>300000</v>
      </c>
    </row>
    <row r="22" spans="1:14" ht="15" customHeight="1" x14ac:dyDescent="0.25">
      <c r="A22" s="106" t="s">
        <v>121</v>
      </c>
      <c r="B22" s="111">
        <f>'Inversión  Inicial'!C23</f>
        <v>255000</v>
      </c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>
        <f t="shared" si="1"/>
        <v>255000</v>
      </c>
    </row>
    <row r="23" spans="1:14" ht="15" customHeight="1" x14ac:dyDescent="0.25">
      <c r="A23" s="106" t="s">
        <v>26</v>
      </c>
      <c r="B23" s="108">
        <f>'Inversión  Inicial'!C22</f>
        <v>1000000</v>
      </c>
      <c r="C23" s="108"/>
      <c r="D23" s="108"/>
      <c r="E23" s="108"/>
      <c r="F23" s="108"/>
      <c r="G23" s="108"/>
      <c r="H23" s="108"/>
      <c r="I23" s="111"/>
      <c r="J23" s="108"/>
      <c r="K23" s="108"/>
      <c r="L23" s="108"/>
      <c r="M23" s="108"/>
      <c r="N23" s="108">
        <f t="shared" si="1"/>
        <v>1000000</v>
      </c>
    </row>
    <row r="24" spans="1:14" ht="15" customHeight="1" x14ac:dyDescent="0.25">
      <c r="A24" s="110" t="s">
        <v>28</v>
      </c>
      <c r="B24" s="108">
        <f>'Inversión  Inicial'!C24</f>
        <v>855380</v>
      </c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>
        <f t="shared" si="1"/>
        <v>855380</v>
      </c>
    </row>
    <row r="25" spans="1:14" ht="15" customHeight="1" x14ac:dyDescent="0.25">
      <c r="A25" s="106" t="s">
        <v>122</v>
      </c>
      <c r="B25" s="108">
        <f t="shared" ref="B25:M25" si="3">$N$25/12</f>
        <v>2915000</v>
      </c>
      <c r="C25" s="108">
        <f t="shared" si="3"/>
        <v>2915000</v>
      </c>
      <c r="D25" s="108">
        <f t="shared" si="3"/>
        <v>2915000</v>
      </c>
      <c r="E25" s="108">
        <f t="shared" si="3"/>
        <v>2915000</v>
      </c>
      <c r="F25" s="108">
        <f t="shared" si="3"/>
        <v>2915000</v>
      </c>
      <c r="G25" s="108">
        <f t="shared" si="3"/>
        <v>2915000</v>
      </c>
      <c r="H25" s="108">
        <f t="shared" si="3"/>
        <v>2915000</v>
      </c>
      <c r="I25" s="108">
        <f t="shared" si="3"/>
        <v>2915000</v>
      </c>
      <c r="J25" s="108">
        <f t="shared" si="3"/>
        <v>2915000</v>
      </c>
      <c r="K25" s="108">
        <f t="shared" si="3"/>
        <v>2915000</v>
      </c>
      <c r="L25" s="108">
        <f t="shared" si="3"/>
        <v>2915000</v>
      </c>
      <c r="M25" s="108">
        <f t="shared" si="3"/>
        <v>2915000</v>
      </c>
      <c r="N25" s="108">
        <f>'Proyección de gastos'!F8</f>
        <v>34980000</v>
      </c>
    </row>
    <row r="26" spans="1:14" ht="15" customHeight="1" x14ac:dyDescent="0.25">
      <c r="A26" s="118" t="s">
        <v>87</v>
      </c>
      <c r="B26" s="108">
        <f t="shared" ref="B26:M26" si="4">$N$26/12</f>
        <v>27900</v>
      </c>
      <c r="C26" s="108">
        <f t="shared" si="4"/>
        <v>27900</v>
      </c>
      <c r="D26" s="108">
        <f t="shared" si="4"/>
        <v>27900</v>
      </c>
      <c r="E26" s="108">
        <f t="shared" si="4"/>
        <v>27900</v>
      </c>
      <c r="F26" s="108">
        <f t="shared" si="4"/>
        <v>27900</v>
      </c>
      <c r="G26" s="108">
        <f t="shared" si="4"/>
        <v>27900</v>
      </c>
      <c r="H26" s="108">
        <f t="shared" si="4"/>
        <v>27900</v>
      </c>
      <c r="I26" s="108">
        <f t="shared" si="4"/>
        <v>27900</v>
      </c>
      <c r="J26" s="108">
        <f t="shared" si="4"/>
        <v>27900</v>
      </c>
      <c r="K26" s="108">
        <f t="shared" si="4"/>
        <v>27900</v>
      </c>
      <c r="L26" s="108">
        <f t="shared" si="4"/>
        <v>27900</v>
      </c>
      <c r="M26" s="108">
        <f t="shared" si="4"/>
        <v>27900</v>
      </c>
      <c r="N26" s="108">
        <f>'Proyección de gastos'!F9</f>
        <v>334800</v>
      </c>
    </row>
    <row r="27" spans="1:14" ht="15" customHeight="1" x14ac:dyDescent="0.25">
      <c r="A27" s="106" t="s">
        <v>123</v>
      </c>
      <c r="B27" s="108">
        <f t="shared" ref="B27:M27" si="5">$N$27/12</f>
        <v>650000</v>
      </c>
      <c r="C27" s="108">
        <f t="shared" si="5"/>
        <v>650000</v>
      </c>
      <c r="D27" s="108">
        <f t="shared" si="5"/>
        <v>650000</v>
      </c>
      <c r="E27" s="108">
        <f t="shared" si="5"/>
        <v>650000</v>
      </c>
      <c r="F27" s="108">
        <f t="shared" si="5"/>
        <v>650000</v>
      </c>
      <c r="G27" s="108">
        <f t="shared" si="5"/>
        <v>650000</v>
      </c>
      <c r="H27" s="108">
        <f t="shared" si="5"/>
        <v>650000</v>
      </c>
      <c r="I27" s="108">
        <f t="shared" si="5"/>
        <v>650000</v>
      </c>
      <c r="J27" s="108">
        <f t="shared" si="5"/>
        <v>650000</v>
      </c>
      <c r="K27" s="108">
        <f t="shared" si="5"/>
        <v>650000</v>
      </c>
      <c r="L27" s="108">
        <f t="shared" si="5"/>
        <v>650000</v>
      </c>
      <c r="M27" s="108">
        <f t="shared" si="5"/>
        <v>650000</v>
      </c>
      <c r="N27" s="108">
        <f>'Proyección de gastos'!F10</f>
        <v>7800000</v>
      </c>
    </row>
    <row r="28" spans="1:14" ht="15.75" x14ac:dyDescent="0.25">
      <c r="A28" s="106" t="s">
        <v>124</v>
      </c>
      <c r="B28" s="108">
        <f t="shared" ref="B28:M28" si="6">$N$28/12</f>
        <v>200000</v>
      </c>
      <c r="C28" s="108">
        <f t="shared" si="6"/>
        <v>200000</v>
      </c>
      <c r="D28" s="108">
        <f t="shared" si="6"/>
        <v>200000</v>
      </c>
      <c r="E28" s="108">
        <f t="shared" si="6"/>
        <v>200000</v>
      </c>
      <c r="F28" s="108">
        <f t="shared" si="6"/>
        <v>200000</v>
      </c>
      <c r="G28" s="108">
        <f t="shared" si="6"/>
        <v>200000</v>
      </c>
      <c r="H28" s="108">
        <f t="shared" si="6"/>
        <v>200000</v>
      </c>
      <c r="I28" s="108">
        <f t="shared" si="6"/>
        <v>200000</v>
      </c>
      <c r="J28" s="108">
        <f t="shared" si="6"/>
        <v>200000</v>
      </c>
      <c r="K28" s="108">
        <f t="shared" si="6"/>
        <v>200000</v>
      </c>
      <c r="L28" s="108">
        <f t="shared" si="6"/>
        <v>200000</v>
      </c>
      <c r="M28" s="108">
        <f t="shared" si="6"/>
        <v>200000</v>
      </c>
      <c r="N28" s="108">
        <f>'Proyección de gastos'!F11</f>
        <v>2400000</v>
      </c>
    </row>
    <row r="29" spans="1:14" ht="15.75" x14ac:dyDescent="0.25">
      <c r="A29" s="106" t="s">
        <v>125</v>
      </c>
      <c r="B29" s="108">
        <f t="shared" ref="B29:M29" si="7">$N$29/12</f>
        <v>350000</v>
      </c>
      <c r="C29" s="108">
        <f t="shared" si="7"/>
        <v>350000</v>
      </c>
      <c r="D29" s="108">
        <f t="shared" si="7"/>
        <v>350000</v>
      </c>
      <c r="E29" s="108">
        <f t="shared" si="7"/>
        <v>350000</v>
      </c>
      <c r="F29" s="108">
        <f t="shared" si="7"/>
        <v>350000</v>
      </c>
      <c r="G29" s="108">
        <f t="shared" si="7"/>
        <v>350000</v>
      </c>
      <c r="H29" s="108">
        <f t="shared" si="7"/>
        <v>350000</v>
      </c>
      <c r="I29" s="108">
        <f t="shared" si="7"/>
        <v>350000</v>
      </c>
      <c r="J29" s="108">
        <f t="shared" si="7"/>
        <v>350000</v>
      </c>
      <c r="K29" s="108">
        <f t="shared" si="7"/>
        <v>350000</v>
      </c>
      <c r="L29" s="108">
        <f t="shared" si="7"/>
        <v>350000</v>
      </c>
      <c r="M29" s="108">
        <f t="shared" si="7"/>
        <v>350000</v>
      </c>
      <c r="N29" s="108">
        <f>'Proyección de gastos'!F12</f>
        <v>4200000</v>
      </c>
    </row>
    <row r="30" spans="1:14" ht="15.75" x14ac:dyDescent="0.25">
      <c r="A30" s="106" t="s">
        <v>102</v>
      </c>
      <c r="B30" s="108">
        <f t="shared" ref="B30:M30" si="8">$N$30/12</f>
        <v>338121.01361000002</v>
      </c>
      <c r="C30" s="108">
        <f t="shared" si="8"/>
        <v>338121.01361000002</v>
      </c>
      <c r="D30" s="108">
        <f t="shared" si="8"/>
        <v>338121.01361000002</v>
      </c>
      <c r="E30" s="108">
        <f t="shared" si="8"/>
        <v>338121.01361000002</v>
      </c>
      <c r="F30" s="108">
        <f t="shared" si="8"/>
        <v>338121.01361000002</v>
      </c>
      <c r="G30" s="108">
        <f t="shared" si="8"/>
        <v>338121.01361000002</v>
      </c>
      <c r="H30" s="108">
        <f t="shared" si="8"/>
        <v>338121.01361000002</v>
      </c>
      <c r="I30" s="108">
        <f t="shared" si="8"/>
        <v>338121.01361000002</v>
      </c>
      <c r="J30" s="108">
        <f t="shared" si="8"/>
        <v>338121.01361000002</v>
      </c>
      <c r="K30" s="108">
        <f t="shared" si="8"/>
        <v>338121.01361000002</v>
      </c>
      <c r="L30" s="108">
        <f t="shared" si="8"/>
        <v>338121.01361000002</v>
      </c>
      <c r="M30" s="108">
        <f t="shared" si="8"/>
        <v>338121.01361000002</v>
      </c>
      <c r="N30" s="108">
        <f>'Proyección de gastos'!F13</f>
        <v>4057452.1633200003</v>
      </c>
    </row>
    <row r="31" spans="1:14" ht="15.75" x14ac:dyDescent="0.25">
      <c r="A31" s="106" t="s">
        <v>126</v>
      </c>
      <c r="B31" s="108">
        <f t="shared" ref="B31:M31" si="9">$N$31/12</f>
        <v>438199.70666666672</v>
      </c>
      <c r="C31" s="108">
        <f t="shared" si="9"/>
        <v>438199.70666666672</v>
      </c>
      <c r="D31" s="108">
        <f t="shared" si="9"/>
        <v>438199.70666666672</v>
      </c>
      <c r="E31" s="108">
        <f t="shared" si="9"/>
        <v>438199.70666666672</v>
      </c>
      <c r="F31" s="108">
        <f t="shared" si="9"/>
        <v>438199.70666666672</v>
      </c>
      <c r="G31" s="108">
        <f t="shared" si="9"/>
        <v>438199.70666666672</v>
      </c>
      <c r="H31" s="108">
        <f t="shared" si="9"/>
        <v>438199.70666666672</v>
      </c>
      <c r="I31" s="108">
        <f t="shared" si="9"/>
        <v>438199.70666666672</v>
      </c>
      <c r="J31" s="108">
        <f t="shared" si="9"/>
        <v>438199.70666666672</v>
      </c>
      <c r="K31" s="108">
        <f t="shared" si="9"/>
        <v>438199.70666666672</v>
      </c>
      <c r="L31" s="108">
        <f t="shared" si="9"/>
        <v>438199.70666666672</v>
      </c>
      <c r="M31" s="108">
        <f t="shared" si="9"/>
        <v>438199.70666666672</v>
      </c>
      <c r="N31" s="108">
        <f>'Proyección de gastos'!F14</f>
        <v>5258396.4800000004</v>
      </c>
    </row>
    <row r="32" spans="1:14" ht="15.75" x14ac:dyDescent="0.25">
      <c r="A32" s="106" t="s">
        <v>127</v>
      </c>
      <c r="B32" s="108">
        <f t="shared" ref="B32:M32" si="10">$N$32/12</f>
        <v>125335.31601666666</v>
      </c>
      <c r="C32" s="108">
        <f t="shared" si="10"/>
        <v>125335.31601666666</v>
      </c>
      <c r="D32" s="108">
        <f t="shared" si="10"/>
        <v>125335.31601666666</v>
      </c>
      <c r="E32" s="108">
        <f t="shared" si="10"/>
        <v>125335.31601666666</v>
      </c>
      <c r="F32" s="108">
        <f t="shared" si="10"/>
        <v>125335.31601666666</v>
      </c>
      <c r="G32" s="108">
        <f t="shared" si="10"/>
        <v>125335.31601666666</v>
      </c>
      <c r="H32" s="108">
        <f t="shared" si="10"/>
        <v>125335.31601666666</v>
      </c>
      <c r="I32" s="108">
        <f t="shared" si="10"/>
        <v>125335.31601666666</v>
      </c>
      <c r="J32" s="108">
        <f t="shared" si="10"/>
        <v>125335.31601666666</v>
      </c>
      <c r="K32" s="108">
        <f t="shared" si="10"/>
        <v>125335.31601666666</v>
      </c>
      <c r="L32" s="108">
        <f t="shared" si="10"/>
        <v>125335.31601666666</v>
      </c>
      <c r="M32" s="108">
        <f t="shared" si="10"/>
        <v>125335.31601666666</v>
      </c>
      <c r="N32" s="108">
        <f>'Proyección de gastos'!F15</f>
        <v>1504023.7922</v>
      </c>
    </row>
    <row r="33" spans="1:14" ht="15.75" x14ac:dyDescent="0.25">
      <c r="A33" s="106" t="s">
        <v>128</v>
      </c>
      <c r="B33" s="108">
        <f t="shared" ref="B33:M33" si="11">$N$33/12</f>
        <v>60000</v>
      </c>
      <c r="C33" s="108">
        <f t="shared" si="11"/>
        <v>60000</v>
      </c>
      <c r="D33" s="108">
        <f t="shared" si="11"/>
        <v>60000</v>
      </c>
      <c r="E33" s="108">
        <f t="shared" si="11"/>
        <v>60000</v>
      </c>
      <c r="F33" s="108">
        <f t="shared" si="11"/>
        <v>60000</v>
      </c>
      <c r="G33" s="108">
        <f t="shared" si="11"/>
        <v>60000</v>
      </c>
      <c r="H33" s="108">
        <f t="shared" si="11"/>
        <v>60000</v>
      </c>
      <c r="I33" s="108">
        <f t="shared" si="11"/>
        <v>60000</v>
      </c>
      <c r="J33" s="108">
        <f t="shared" si="11"/>
        <v>60000</v>
      </c>
      <c r="K33" s="108">
        <f t="shared" si="11"/>
        <v>60000</v>
      </c>
      <c r="L33" s="108">
        <f t="shared" si="11"/>
        <v>60000</v>
      </c>
      <c r="M33" s="108">
        <f t="shared" si="11"/>
        <v>60000</v>
      </c>
      <c r="N33" s="108">
        <f>'Proyección de gastos'!F16</f>
        <v>720000</v>
      </c>
    </row>
    <row r="34" spans="1:14" ht="15.75" x14ac:dyDescent="0.25">
      <c r="A34" s="106" t="s">
        <v>129</v>
      </c>
      <c r="B34" s="108">
        <f t="shared" ref="B34:M34" si="12">$N$34/12</f>
        <v>70000</v>
      </c>
      <c r="C34" s="108">
        <f t="shared" si="12"/>
        <v>70000</v>
      </c>
      <c r="D34" s="108">
        <f t="shared" si="12"/>
        <v>70000</v>
      </c>
      <c r="E34" s="108">
        <f t="shared" si="12"/>
        <v>70000</v>
      </c>
      <c r="F34" s="108">
        <f t="shared" si="12"/>
        <v>70000</v>
      </c>
      <c r="G34" s="108">
        <f t="shared" si="12"/>
        <v>70000</v>
      </c>
      <c r="H34" s="108">
        <f t="shared" si="12"/>
        <v>70000</v>
      </c>
      <c r="I34" s="108">
        <f t="shared" si="12"/>
        <v>70000</v>
      </c>
      <c r="J34" s="108">
        <f t="shared" si="12"/>
        <v>70000</v>
      </c>
      <c r="K34" s="108">
        <f t="shared" si="12"/>
        <v>70000</v>
      </c>
      <c r="L34" s="108">
        <f t="shared" si="12"/>
        <v>70000</v>
      </c>
      <c r="M34" s="108">
        <f t="shared" si="12"/>
        <v>70000</v>
      </c>
      <c r="N34" s="108">
        <f>'Proyección de gastos'!F17</f>
        <v>840000</v>
      </c>
    </row>
    <row r="35" spans="1:14" ht="15.75" x14ac:dyDescent="0.25">
      <c r="A35" s="106" t="s">
        <v>74</v>
      </c>
      <c r="B35" s="108">
        <f t="shared" ref="B35:M35" si="13">$N$35/12</f>
        <v>1048500</v>
      </c>
      <c r="C35" s="108">
        <f t="shared" si="13"/>
        <v>1048500</v>
      </c>
      <c r="D35" s="108">
        <f t="shared" si="13"/>
        <v>1048500</v>
      </c>
      <c r="E35" s="108">
        <f t="shared" si="13"/>
        <v>1048500</v>
      </c>
      <c r="F35" s="108">
        <f t="shared" si="13"/>
        <v>1048500</v>
      </c>
      <c r="G35" s="108">
        <f t="shared" si="13"/>
        <v>1048500</v>
      </c>
      <c r="H35" s="108">
        <f t="shared" si="13"/>
        <v>1048500</v>
      </c>
      <c r="I35" s="108">
        <f t="shared" si="13"/>
        <v>1048500</v>
      </c>
      <c r="J35" s="108">
        <f t="shared" si="13"/>
        <v>1048500</v>
      </c>
      <c r="K35" s="108">
        <f t="shared" si="13"/>
        <v>1048500</v>
      </c>
      <c r="L35" s="108">
        <f t="shared" si="13"/>
        <v>1048500</v>
      </c>
      <c r="M35" s="108">
        <f t="shared" si="13"/>
        <v>1048500</v>
      </c>
      <c r="N35" s="108">
        <f>'Proyección de gastos'!F18</f>
        <v>12582000</v>
      </c>
    </row>
    <row r="36" spans="1:14" ht="15.75" x14ac:dyDescent="0.25">
      <c r="A36" s="106" t="s">
        <v>130</v>
      </c>
      <c r="B36" s="108">
        <f t="shared" ref="B36:M36" si="14">$N$36/12</f>
        <v>6666.666666666667</v>
      </c>
      <c r="C36" s="108">
        <f t="shared" si="14"/>
        <v>6666.666666666667</v>
      </c>
      <c r="D36" s="108">
        <f t="shared" si="14"/>
        <v>6666.666666666667</v>
      </c>
      <c r="E36" s="108">
        <f t="shared" si="14"/>
        <v>6666.666666666667</v>
      </c>
      <c r="F36" s="108">
        <f t="shared" si="14"/>
        <v>6666.666666666667</v>
      </c>
      <c r="G36" s="108">
        <f t="shared" si="14"/>
        <v>6666.666666666667</v>
      </c>
      <c r="H36" s="108">
        <f t="shared" si="14"/>
        <v>6666.666666666667</v>
      </c>
      <c r="I36" s="108">
        <f t="shared" si="14"/>
        <v>6666.666666666667</v>
      </c>
      <c r="J36" s="108">
        <f t="shared" si="14"/>
        <v>6666.666666666667</v>
      </c>
      <c r="K36" s="108">
        <f t="shared" si="14"/>
        <v>6666.666666666667</v>
      </c>
      <c r="L36" s="108">
        <f t="shared" si="14"/>
        <v>6666.666666666667</v>
      </c>
      <c r="M36" s="108">
        <f t="shared" si="14"/>
        <v>6666.666666666667</v>
      </c>
      <c r="N36" s="108">
        <f>'Proyección de gastos'!F19</f>
        <v>80000</v>
      </c>
    </row>
    <row r="37" spans="1:14" ht="15.75" x14ac:dyDescent="0.25">
      <c r="A37" s="118" t="s">
        <v>131</v>
      </c>
      <c r="B37" s="108">
        <f t="shared" ref="B37:M37" si="15">$N$37/12</f>
        <v>250000</v>
      </c>
      <c r="C37" s="108">
        <f t="shared" si="15"/>
        <v>250000</v>
      </c>
      <c r="D37" s="108">
        <f t="shared" si="15"/>
        <v>250000</v>
      </c>
      <c r="E37" s="108">
        <f t="shared" si="15"/>
        <v>250000</v>
      </c>
      <c r="F37" s="108">
        <f t="shared" si="15"/>
        <v>250000</v>
      </c>
      <c r="G37" s="108">
        <f t="shared" si="15"/>
        <v>250000</v>
      </c>
      <c r="H37" s="108">
        <f t="shared" si="15"/>
        <v>250000</v>
      </c>
      <c r="I37" s="108">
        <f t="shared" si="15"/>
        <v>250000</v>
      </c>
      <c r="J37" s="108">
        <f t="shared" si="15"/>
        <v>250000</v>
      </c>
      <c r="K37" s="108">
        <f t="shared" si="15"/>
        <v>250000</v>
      </c>
      <c r="L37" s="108">
        <f t="shared" si="15"/>
        <v>250000</v>
      </c>
      <c r="M37" s="108">
        <f t="shared" si="15"/>
        <v>250000</v>
      </c>
      <c r="N37" s="108">
        <f>'Proyección de gastos'!F20</f>
        <v>3000000</v>
      </c>
    </row>
    <row r="38" spans="1:14" ht="15.75" x14ac:dyDescent="0.25">
      <c r="A38" s="106" t="s">
        <v>132</v>
      </c>
      <c r="B38" s="108">
        <f t="shared" ref="B38:M38" si="16">$N$38/12</f>
        <v>200000</v>
      </c>
      <c r="C38" s="108">
        <f t="shared" si="16"/>
        <v>200000</v>
      </c>
      <c r="D38" s="108">
        <f t="shared" si="16"/>
        <v>200000</v>
      </c>
      <c r="E38" s="108">
        <f t="shared" si="16"/>
        <v>200000</v>
      </c>
      <c r="F38" s="108">
        <f t="shared" si="16"/>
        <v>200000</v>
      </c>
      <c r="G38" s="108">
        <f t="shared" si="16"/>
        <v>200000</v>
      </c>
      <c r="H38" s="108">
        <f t="shared" si="16"/>
        <v>200000</v>
      </c>
      <c r="I38" s="108">
        <f t="shared" si="16"/>
        <v>200000</v>
      </c>
      <c r="J38" s="108">
        <f t="shared" si="16"/>
        <v>200000</v>
      </c>
      <c r="K38" s="108">
        <f t="shared" si="16"/>
        <v>200000</v>
      </c>
      <c r="L38" s="108">
        <f t="shared" si="16"/>
        <v>200000</v>
      </c>
      <c r="M38" s="108">
        <f t="shared" si="16"/>
        <v>200000</v>
      </c>
      <c r="N38" s="108">
        <f>'Proyección de gastos'!F21</f>
        <v>2400000</v>
      </c>
    </row>
    <row r="39" spans="1:14" ht="15.75" x14ac:dyDescent="0.25">
      <c r="A39" s="115" t="s">
        <v>195</v>
      </c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>
        <f t="shared" ref="N39:N62" si="17">SUM(B39:M39)</f>
        <v>0</v>
      </c>
    </row>
    <row r="40" spans="1:14" ht="15.75" x14ac:dyDescent="0.25">
      <c r="A40" s="106" t="s">
        <v>196</v>
      </c>
      <c r="B40" s="108">
        <f>'Amortizaciones '!D2</f>
        <v>312500</v>
      </c>
      <c r="C40" s="108">
        <f>'Amortizaciones '!$D$3</f>
        <v>308971.89684801287</v>
      </c>
      <c r="D40" s="108">
        <f>'Amortizaciones '!$D$4</f>
        <v>305399.69240662595</v>
      </c>
      <c r="E40" s="108">
        <f>'Amortizaciones '!$D$5</f>
        <v>301782.83540972165</v>
      </c>
      <c r="F40" s="108">
        <f>'Amortizaciones '!$D$6</f>
        <v>298120.76770035608</v>
      </c>
      <c r="G40" s="108">
        <f>'Amortizaciones '!$D7</f>
        <v>294412.92414462345</v>
      </c>
      <c r="H40" s="108">
        <f>'Amortizaciones '!D8</f>
        <v>290658.73254444415</v>
      </c>
      <c r="I40" s="108">
        <f>'Amortizaciones '!$D$9</f>
        <v>286857.61354926258</v>
      </c>
      <c r="J40" s="108">
        <f>'Amortizaciones '!$D$10</f>
        <v>283008.98056664126</v>
      </c>
      <c r="K40" s="108">
        <f>'Amortizaciones '!$D$11</f>
        <v>279112.23967173719</v>
      </c>
      <c r="L40" s="108">
        <f>'Amortizaciones '!$D$12</f>
        <v>275166.78951564676</v>
      </c>
      <c r="M40" s="108">
        <f>'Amortizaciones '!$D$13</f>
        <v>271172.02123260521</v>
      </c>
      <c r="N40" s="108">
        <f t="shared" si="17"/>
        <v>3507164.4935896769</v>
      </c>
    </row>
    <row r="41" spans="1:14" ht="15.75" x14ac:dyDescent="0.25">
      <c r="A41" s="106" t="s">
        <v>197</v>
      </c>
      <c r="B41" s="108">
        <f>'Amortizaciones '!E3</f>
        <v>285776.35531095538</v>
      </c>
      <c r="C41" s="108">
        <f>'Amortizaciones '!$E$3</f>
        <v>285776.35531095538</v>
      </c>
      <c r="D41" s="108">
        <f>'Amortizaciones '!$E$4</f>
        <v>289348.55975234229</v>
      </c>
      <c r="E41" s="108">
        <f>'Amortizaciones '!$E$5</f>
        <v>292965.41674924659</v>
      </c>
      <c r="F41" s="108">
        <f>'Amortizaciones '!$E$6</f>
        <v>296627.48445861216</v>
      </c>
      <c r="G41" s="108">
        <f>'Amortizaciones '!$E$7</f>
        <v>300335.32801434479</v>
      </c>
      <c r="H41" s="108">
        <f>'Amortizaciones '!$E$38</f>
        <v>441420.4093105988</v>
      </c>
      <c r="I41" s="108">
        <f>'Amortizaciones '!$E$9</f>
        <v>307890.63860970567</v>
      </c>
      <c r="J41" s="108">
        <f>'Amortizaciones '!$E$10</f>
        <v>311739.27159232699</v>
      </c>
      <c r="K41" s="108">
        <f>'Amortizaciones '!$E$11</f>
        <v>315636.01248723106</v>
      </c>
      <c r="L41" s="108">
        <f>'Amortizaciones '!$E$12</f>
        <v>319581.46264332149</v>
      </c>
      <c r="M41" s="108">
        <f>'Amortizaciones '!$E$13</f>
        <v>323576.23092636303</v>
      </c>
      <c r="N41" s="108">
        <f t="shared" si="17"/>
        <v>3770673.525166003</v>
      </c>
    </row>
    <row r="42" spans="1:14" ht="15.75" x14ac:dyDescent="0.25">
      <c r="A42" s="106" t="s">
        <v>198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>
        <f t="shared" si="17"/>
        <v>0</v>
      </c>
    </row>
    <row r="43" spans="1:14" ht="15.75" x14ac:dyDescent="0.25">
      <c r="A43" s="115" t="s">
        <v>2</v>
      </c>
      <c r="B43" s="111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>
        <f t="shared" si="17"/>
        <v>0</v>
      </c>
    </row>
    <row r="44" spans="1:14" ht="15.75" x14ac:dyDescent="0.25">
      <c r="A44" s="119" t="s">
        <v>5</v>
      </c>
      <c r="B44" s="111">
        <f>'Inversión  Inicial'!C3</f>
        <v>575000</v>
      </c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>
        <f t="shared" si="17"/>
        <v>575000</v>
      </c>
    </row>
    <row r="45" spans="1:14" ht="15.75" x14ac:dyDescent="0.25">
      <c r="A45" s="74" t="s">
        <v>7</v>
      </c>
      <c r="B45" s="111">
        <f>'Inversión  Inicial'!C4</f>
        <v>2300000</v>
      </c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>
        <f t="shared" si="17"/>
        <v>2300000</v>
      </c>
    </row>
    <row r="46" spans="1:14" ht="15.75" x14ac:dyDescent="0.25">
      <c r="A46" s="74" t="s">
        <v>8</v>
      </c>
      <c r="B46" s="111">
        <f>'Inversión  Inicial'!C5</f>
        <v>7187500</v>
      </c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>
        <f t="shared" si="17"/>
        <v>7187500</v>
      </c>
    </row>
    <row r="47" spans="1:14" ht="15.75" x14ac:dyDescent="0.25">
      <c r="A47" s="74" t="s">
        <v>9</v>
      </c>
      <c r="B47" s="111">
        <f>'Inversión  Inicial'!C6</f>
        <v>123050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>
        <f t="shared" si="17"/>
        <v>123050</v>
      </c>
    </row>
    <row r="48" spans="1:14" ht="15.75" x14ac:dyDescent="0.25">
      <c r="A48" s="74" t="s">
        <v>10</v>
      </c>
      <c r="B48" s="111">
        <f>'Inversión  Inicial'!C7</f>
        <v>2875000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>
        <f t="shared" si="17"/>
        <v>2875000</v>
      </c>
    </row>
    <row r="49" spans="1:14" ht="15.75" x14ac:dyDescent="0.25">
      <c r="A49" s="74" t="s">
        <v>11</v>
      </c>
      <c r="B49" s="111">
        <f>'Inversión  Inicial'!C8</f>
        <v>4600000</v>
      </c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>
        <f t="shared" si="17"/>
        <v>4600000</v>
      </c>
    </row>
    <row r="50" spans="1:14" ht="15.75" x14ac:dyDescent="0.25">
      <c r="A50" s="74" t="s">
        <v>12</v>
      </c>
      <c r="B50" s="111">
        <f>'Inversión  Inicial'!C9</f>
        <v>1150000</v>
      </c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>
        <f t="shared" si="17"/>
        <v>1150000</v>
      </c>
    </row>
    <row r="51" spans="1:14" ht="15.75" x14ac:dyDescent="0.25">
      <c r="A51" s="74" t="s">
        <v>13</v>
      </c>
      <c r="B51" s="111">
        <f>'Inversión  Inicial'!C10</f>
        <v>125000</v>
      </c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>
        <f t="shared" si="17"/>
        <v>125000</v>
      </c>
    </row>
    <row r="52" spans="1:14" ht="15.75" x14ac:dyDescent="0.25">
      <c r="A52" s="74" t="s">
        <v>14</v>
      </c>
      <c r="B52" s="111">
        <f>'Inversión  Inicial'!C11</f>
        <v>50000</v>
      </c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>
        <f t="shared" si="17"/>
        <v>50000</v>
      </c>
    </row>
    <row r="53" spans="1:14" ht="15.75" x14ac:dyDescent="0.25">
      <c r="A53" s="74" t="s">
        <v>16</v>
      </c>
      <c r="B53" s="111">
        <f>'Inversión  Inicial'!C12</f>
        <v>100000</v>
      </c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>
        <f t="shared" si="17"/>
        <v>100000</v>
      </c>
    </row>
    <row r="54" spans="1:14" ht="15.75" x14ac:dyDescent="0.25">
      <c r="A54" s="74" t="s">
        <v>17</v>
      </c>
      <c r="B54" s="111">
        <f>'Inversión  Inicial'!C13</f>
        <v>600000</v>
      </c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>
        <f t="shared" si="17"/>
        <v>600000</v>
      </c>
    </row>
    <row r="55" spans="1:14" ht="15.75" x14ac:dyDescent="0.25">
      <c r="A55" s="74" t="s">
        <v>18</v>
      </c>
      <c r="B55" s="111">
        <f>'Inversión  Inicial'!C14</f>
        <v>200000</v>
      </c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>
        <f t="shared" si="17"/>
        <v>200000</v>
      </c>
    </row>
    <row r="56" spans="1:14" ht="15.75" x14ac:dyDescent="0.25">
      <c r="A56" s="74" t="s">
        <v>19</v>
      </c>
      <c r="B56" s="111">
        <f>'Inversión  Inicial'!C15</f>
        <v>100000</v>
      </c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>
        <f t="shared" si="17"/>
        <v>100000</v>
      </c>
    </row>
    <row r="57" spans="1:14" ht="15.75" x14ac:dyDescent="0.25">
      <c r="A57" s="74" t="s">
        <v>20</v>
      </c>
      <c r="B57" s="111">
        <f>'Inversión  Inicial'!C16</f>
        <v>40000</v>
      </c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>
        <f t="shared" si="17"/>
        <v>40000</v>
      </c>
    </row>
    <row r="58" spans="1:14" ht="15.75" x14ac:dyDescent="0.25">
      <c r="A58" s="74" t="s">
        <v>21</v>
      </c>
      <c r="B58" s="111">
        <f>'Inversión  Inicial'!C17</f>
        <v>70000</v>
      </c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>
        <f t="shared" si="17"/>
        <v>70000</v>
      </c>
    </row>
    <row r="59" spans="1:14" ht="15.75" x14ac:dyDescent="0.25">
      <c r="A59" s="74" t="s">
        <v>22</v>
      </c>
      <c r="B59" s="111">
        <f>'Inversión  Inicial'!C18</f>
        <v>56000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>
        <f t="shared" si="17"/>
        <v>56000</v>
      </c>
    </row>
    <row r="60" spans="1:14" ht="15.75" x14ac:dyDescent="0.25">
      <c r="A60" s="74" t="s">
        <v>23</v>
      </c>
      <c r="B60" s="111">
        <f>'Inversión  Inicial'!C19</f>
        <v>18000000</v>
      </c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>
        <f t="shared" si="17"/>
        <v>18000000</v>
      </c>
    </row>
    <row r="61" spans="1:14" ht="15.75" x14ac:dyDescent="0.25">
      <c r="A61" s="120" t="s">
        <v>199</v>
      </c>
      <c r="B61" s="121">
        <f t="shared" ref="B61:M61" si="18">SUM(B13:B60)</f>
        <v>255347608.05827093</v>
      </c>
      <c r="C61" s="121">
        <f t="shared" si="18"/>
        <v>215093411.47361898</v>
      </c>
      <c r="D61" s="121">
        <f t="shared" si="18"/>
        <v>215405139.88439676</v>
      </c>
      <c r="E61" s="121">
        <f t="shared" si="18"/>
        <v>215717335.88779065</v>
      </c>
      <c r="F61" s="121">
        <f t="shared" si="18"/>
        <v>216030000.18518969</v>
      </c>
      <c r="G61" s="121">
        <f t="shared" si="18"/>
        <v>216343133.47903481</v>
      </c>
      <c r="H61" s="121">
        <f t="shared" si="18"/>
        <v>216794067.36251682</v>
      </c>
      <c r="I61" s="121">
        <f t="shared" si="18"/>
        <v>216970809.87109724</v>
      </c>
      <c r="J61" s="121">
        <f t="shared" si="18"/>
        <v>217285354.37947121</v>
      </c>
      <c r="K61" s="121">
        <f t="shared" si="18"/>
        <v>217771069.06029508</v>
      </c>
      <c r="L61" s="121">
        <f t="shared" si="18"/>
        <v>217915859.554232</v>
      </c>
      <c r="M61" s="121">
        <f t="shared" si="18"/>
        <v>218231821.63713071</v>
      </c>
      <c r="N61" s="122">
        <f t="shared" si="17"/>
        <v>2638905610.8330455</v>
      </c>
    </row>
    <row r="62" spans="1:14" ht="15.75" x14ac:dyDescent="0.25">
      <c r="A62" s="120" t="s">
        <v>200</v>
      </c>
      <c r="B62" s="121">
        <f t="shared" ref="B62:M62" si="19">B12-B61</f>
        <v>-111126.24493759871</v>
      </c>
      <c r="C62" s="121">
        <f t="shared" si="19"/>
        <v>354798.81749677658</v>
      </c>
      <c r="D62" s="121">
        <f t="shared" si="19"/>
        <v>832334.4739574492</v>
      </c>
      <c r="E62" s="121">
        <f t="shared" si="19"/>
        <v>1321498.14033553</v>
      </c>
      <c r="F62" s="121">
        <f t="shared" si="19"/>
        <v>1822307.2586458623</v>
      </c>
      <c r="G62" s="121">
        <f t="shared" si="19"/>
        <v>2334779.2970663011</v>
      </c>
      <c r="H62" s="121">
        <f t="shared" si="19"/>
        <v>2721600.860280931</v>
      </c>
      <c r="I62" s="121">
        <f t="shared" si="19"/>
        <v>3257451.248303771</v>
      </c>
      <c r="J62" s="121">
        <f t="shared" si="19"/>
        <v>3805017.1183412969</v>
      </c>
      <c r="K62" s="121">
        <f t="shared" si="19"/>
        <v>4193617.6879292428</v>
      </c>
      <c r="L62" s="121">
        <f t="shared" si="19"/>
        <v>4764667.2680251002</v>
      </c>
      <c r="M62" s="121">
        <f t="shared" si="19"/>
        <v>5347485.128923744</v>
      </c>
      <c r="N62" s="122">
        <f t="shared" si="17"/>
        <v>30644431.054368407</v>
      </c>
    </row>
  </sheetData>
  <mergeCells count="1">
    <mergeCell ref="A1:N1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outlinePr summaryBelow="0" summaryRight="0"/>
  </sheetPr>
  <dimension ref="A1:N43"/>
  <sheetViews>
    <sheetView workbookViewId="0">
      <selection sqref="A1:N1"/>
    </sheetView>
  </sheetViews>
  <sheetFormatPr baseColWidth="10" defaultColWidth="11.21875" defaultRowHeight="15" customHeight="1" x14ac:dyDescent="0.2"/>
  <cols>
    <col min="1" max="1" width="36.33203125" customWidth="1"/>
  </cols>
  <sheetData>
    <row r="1" spans="1:14" ht="31.5" customHeight="1" x14ac:dyDescent="0.4">
      <c r="A1" s="190" t="s">
        <v>201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2"/>
    </row>
    <row r="2" spans="1:14" ht="15" customHeight="1" x14ac:dyDescent="0.25">
      <c r="A2" s="104"/>
      <c r="B2" s="105" t="s">
        <v>166</v>
      </c>
      <c r="C2" s="105" t="s">
        <v>167</v>
      </c>
      <c r="D2" s="105" t="s">
        <v>168</v>
      </c>
      <c r="E2" s="105" t="s">
        <v>169</v>
      </c>
      <c r="F2" s="105" t="s">
        <v>170</v>
      </c>
      <c r="G2" s="105" t="s">
        <v>171</v>
      </c>
      <c r="H2" s="105" t="s">
        <v>172</v>
      </c>
      <c r="I2" s="105" t="s">
        <v>173</v>
      </c>
      <c r="J2" s="105" t="s">
        <v>174</v>
      </c>
      <c r="K2" s="105" t="s">
        <v>175</v>
      </c>
      <c r="L2" s="105" t="s">
        <v>176</v>
      </c>
      <c r="M2" s="105" t="s">
        <v>177</v>
      </c>
      <c r="N2" s="105" t="s">
        <v>24</v>
      </c>
    </row>
    <row r="3" spans="1:14" ht="15" customHeight="1" x14ac:dyDescent="0.25">
      <c r="A3" s="106" t="s">
        <v>178</v>
      </c>
      <c r="B3" s="108">
        <f>'Flujo de efectivo año 1 '!M62</f>
        <v>5347485.128923744</v>
      </c>
      <c r="C3" s="108">
        <f t="shared" ref="C3:M3" si="0">B43</f>
        <v>-737633.77991360426</v>
      </c>
      <c r="D3" s="108">
        <f t="shared" si="0"/>
        <v>-6810949.0766270757</v>
      </c>
      <c r="E3" s="108">
        <f t="shared" si="0"/>
        <v>-12872443.055798471</v>
      </c>
      <c r="F3" s="108">
        <f t="shared" si="0"/>
        <v>-18922097.98545149</v>
      </c>
      <c r="G3" s="108">
        <f t="shared" si="0"/>
        <v>-24959896.107011884</v>
      </c>
      <c r="H3" s="108">
        <f t="shared" si="0"/>
        <v>-30985819.635267496</v>
      </c>
      <c r="I3" s="108">
        <f t="shared" si="0"/>
        <v>-36999850.758328378</v>
      </c>
      <c r="J3" s="108">
        <f t="shared" si="0"/>
        <v>-43001971.637586743</v>
      </c>
      <c r="K3" s="108">
        <f t="shared" si="0"/>
        <v>-48992164.407676846</v>
      </c>
      <c r="L3" s="108">
        <f t="shared" si="0"/>
        <v>-54970411.176435024</v>
      </c>
      <c r="M3" s="108">
        <f t="shared" si="0"/>
        <v>-60936694.02485922</v>
      </c>
      <c r="N3" s="108">
        <f t="shared" ref="N3:N22" si="1">SUM(B3:M3)</f>
        <v>-334842446.51603246</v>
      </c>
    </row>
    <row r="4" spans="1:14" ht="15" customHeight="1" x14ac:dyDescent="0.25">
      <c r="A4" s="109" t="s">
        <v>179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>
        <f t="shared" si="1"/>
        <v>0</v>
      </c>
    </row>
    <row r="5" spans="1:14" ht="15" customHeight="1" x14ac:dyDescent="0.25">
      <c r="A5" s="110" t="s">
        <v>180</v>
      </c>
      <c r="B5" s="111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>
        <f t="shared" si="1"/>
        <v>0</v>
      </c>
    </row>
    <row r="6" spans="1:14" ht="15" customHeight="1" x14ac:dyDescent="0.25">
      <c r="A6" s="110" t="s">
        <v>181</v>
      </c>
      <c r="B6" s="111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>
        <f t="shared" si="1"/>
        <v>0</v>
      </c>
    </row>
    <row r="7" spans="1:14" ht="15" customHeight="1" x14ac:dyDescent="0.25">
      <c r="A7" s="110" t="s">
        <v>182</v>
      </c>
      <c r="B7" s="108">
        <f>'Proyección de ventas'!$F$16*'Costos variables de producción'!$E$20</f>
        <v>6853620.4604354817</v>
      </c>
      <c r="C7" s="108">
        <f>'Proyección de ventas'!$F$17*'Costos variables de producción'!$E$20</f>
        <v>6863900.8911261354</v>
      </c>
      <c r="D7" s="108">
        <f>'Proyección de ventas'!$F$18*'Costos variables de producción'!$E$20</f>
        <v>6874196.742462826</v>
      </c>
      <c r="E7" s="108">
        <f>'Proyección de ventas'!$F$19*'Costos variables de producción'!$E$20</f>
        <v>6884508.0375765199</v>
      </c>
      <c r="F7" s="108">
        <f>'Proyección de ventas'!$F$20*'Costos variables de producción'!$E$20</f>
        <v>6894834.7996328855</v>
      </c>
      <c r="G7" s="108">
        <f>'Proyección de ventas'!$F$21*'Costos variables de producción'!$E$20</f>
        <v>6905177.0518323351</v>
      </c>
      <c r="H7" s="108">
        <f>'Proyección de ventas'!$F$22*'Costos variables de producción'!$E$20</f>
        <v>6915534.8174100844</v>
      </c>
      <c r="I7" s="108">
        <f>'Proyección de ventas'!$F$23*'Costos variables de producción'!$E$20</f>
        <v>6925908.1196361994</v>
      </c>
      <c r="J7" s="108">
        <f>'Proyección de ventas'!$F$24*'Costos variables de producción'!$E$20</f>
        <v>6936296.9818156548</v>
      </c>
      <c r="K7" s="108">
        <f>'Proyección de ventas'!$F$25*'Costos variables de producción'!$E$20</f>
        <v>6946701.4272883786</v>
      </c>
      <c r="L7" s="108">
        <f>'Proyección de ventas'!$F$26*'Costos variables de producción'!$E$20</f>
        <v>6957121.4794293111</v>
      </c>
      <c r="M7" s="108">
        <f>'Proyección de ventas'!$F$27*'Costos variables de producción'!$E$20</f>
        <v>6967557.161648456</v>
      </c>
      <c r="N7" s="108">
        <f t="shared" si="1"/>
        <v>82925357.970294252</v>
      </c>
    </row>
    <row r="8" spans="1:14" ht="15" customHeight="1" x14ac:dyDescent="0.25">
      <c r="A8" s="112" t="s">
        <v>183</v>
      </c>
      <c r="B8" s="108">
        <f>'Proyección de ventas'!$G$16*'Costos variables de producción'!$E$22</f>
        <v>48882705.500415683</v>
      </c>
      <c r="C8" s="108">
        <f>'Proyección de ventas'!$G$17*'Costos variables de producción'!$E$22</f>
        <v>48956029.558666304</v>
      </c>
      <c r="D8" s="108">
        <f>'Proyección de ventas'!$G$18*'Costos variables de producción'!$E$22</f>
        <v>49029463.603004307</v>
      </c>
      <c r="E8" s="108">
        <f>'Proyección de ventas'!$G$19*'Costos variables de producción'!$E$22</f>
        <v>49103007.798408821</v>
      </c>
      <c r="F8" s="108">
        <f>'Proyección de ventas'!$G$20*'Costos variables de producción'!$E$22</f>
        <v>49176662.310106434</v>
      </c>
      <c r="G8" s="108">
        <f>'Proyección de ventas'!$G$21*'Costos variables de producción'!$E$22</f>
        <v>49250427.303571597</v>
      </c>
      <c r="H8" s="108">
        <f>'Proyección de ventas'!$G$22*'Costos variables de producción'!$E$22</f>
        <v>49324302.944526955</v>
      </c>
      <c r="I8" s="108">
        <f>'Proyección de ventas'!$G$23*'Costos variables de producción'!$E$22</f>
        <v>49398289.398943745</v>
      </c>
      <c r="J8" s="108">
        <f>'Proyección de ventas'!$G$24*'Costos variables de producción'!$E$22</f>
        <v>49472386.833042167</v>
      </c>
      <c r="K8" s="108">
        <f>'Proyección de ventas'!$G$25*'Costos variables de producción'!$E$22</f>
        <v>49546595.41329173</v>
      </c>
      <c r="L8" s="108">
        <f>'Proyección de ventas'!$G$26*'Costos variables de producción'!$E$22</f>
        <v>49620915.306411676</v>
      </c>
      <c r="M8" s="108">
        <f>'Proyección de ventas'!$G$27*'Costos variables de producción'!$E$22</f>
        <v>49695346.679371297</v>
      </c>
      <c r="N8" s="108">
        <f t="shared" si="1"/>
        <v>591456132.64976072</v>
      </c>
    </row>
    <row r="9" spans="1:14" ht="15" customHeight="1" x14ac:dyDescent="0.25">
      <c r="A9" s="112" t="s">
        <v>184</v>
      </c>
      <c r="B9" s="108">
        <f>'Proyección de ventas'!$H$16*'Costos variables de producción'!$E$21</f>
        <v>16270156.531081086</v>
      </c>
      <c r="C9" s="108">
        <f>'Proyección de ventas'!$H$17*'Costos variables de producción'!$E$21</f>
        <v>16294561.765877707</v>
      </c>
      <c r="D9" s="108">
        <f>'Proyección de ventas'!$H$18*'Costos variables de producción'!$E$21</f>
        <v>16319003.608526526</v>
      </c>
      <c r="E9" s="108">
        <f>'Proyección de ventas'!$H$19*'Costos variables de producción'!$E$21</f>
        <v>16343482.113939315</v>
      </c>
      <c r="F9" s="108">
        <f>'Proyección de ventas'!$H$20*'Costos variables de producción'!$E$21</f>
        <v>16367997.337110227</v>
      </c>
      <c r="G9" s="108">
        <f>'Proyección de ventas'!$H$21*'Costos variables de producción'!$E$21</f>
        <v>16392549.333115891</v>
      </c>
      <c r="H9" s="108">
        <f>'Proyección de ventas'!H$22*'Costos variables de producción'!$E$21</f>
        <v>16417138.157115566</v>
      </c>
      <c r="I9" s="108">
        <f>'Proyección de ventas'!$H$23*'Costos variables de producción'!$E$21</f>
        <v>16441763.864351239</v>
      </c>
      <c r="J9" s="108">
        <f>'Proyección de ventas'!$H$24*'Costos variables de producción'!$E$21</f>
        <v>16466426.510147765</v>
      </c>
      <c r="K9" s="108">
        <f>'Proyección de ventas'!$H$25*'Costos variables de producción'!$E$21</f>
        <v>16491126.149912989</v>
      </c>
      <c r="L9" s="108">
        <f>'Proyección de ventas'!$H$26*'Costos variables de producción'!$E$21</f>
        <v>16515862.83913786</v>
      </c>
      <c r="M9" s="108">
        <f>'Proyección de ventas'!$H$27*'Costos variables de producción'!$E$21</f>
        <v>16540636.633396568</v>
      </c>
      <c r="N9" s="108">
        <f t="shared" si="1"/>
        <v>196860704.84371272</v>
      </c>
    </row>
    <row r="10" spans="1:14" ht="15" customHeight="1" x14ac:dyDescent="0.25">
      <c r="A10" s="112" t="s">
        <v>185</v>
      </c>
      <c r="B10" s="108">
        <f>'Proyección de ventas'!$I$16*'Costos variables de producción'!$E$23</f>
        <v>50984939.33554659</v>
      </c>
      <c r="C10" s="108">
        <f>'Proyección de ventas'!$I$17*'Costos variables de producción'!$E$23</f>
        <v>51061416.744549915</v>
      </c>
      <c r="D10" s="108">
        <f>'Proyección de ventas'!$I$18*'Costos variables de producción'!$E$23</f>
        <v>51138008.869666748</v>
      </c>
      <c r="E10" s="108">
        <f>'Proyección de ventas'!$I$19*'Costos variables de producción'!$E$23</f>
        <v>51214715.882971257</v>
      </c>
      <c r="F10" s="108">
        <f>'Proyección de ventas'!$I$20*'Costos variables de producción'!$E$23</f>
        <v>51291537.956795715</v>
      </c>
      <c r="G10" s="108">
        <f>'Proyección de ventas'!$I$21*'Costos variables de producción'!$E$23</f>
        <v>51368475.263730913</v>
      </c>
      <c r="H10" s="108">
        <f>'Proyección de ventas'!$I$22*'Costos variables de producción'!$E$23</f>
        <v>51445527.976626515</v>
      </c>
      <c r="I10" s="108">
        <f>'Proyección de ventas'!$I$23*'Costos variables de producción'!$E$23</f>
        <v>51522696.268591464</v>
      </c>
      <c r="J10" s="108">
        <f>'Proyección de ventas'!$I$24*'Costos variables de producción'!$E$23</f>
        <v>51599980.312994353</v>
      </c>
      <c r="K10" s="108">
        <f>'Proyección de ventas'!$I$25*'Costos variables de producción'!$E$23</f>
        <v>51677380.283463843</v>
      </c>
      <c r="L10" s="108">
        <f>'Proyección de ventas'!$I$26*'Costos variables de producción'!$E$23</f>
        <v>51754896.353889041</v>
      </c>
      <c r="M10" s="108">
        <f>'Proyección de ventas'!$I$27*'Costos variables de producción'!$E$23</f>
        <v>51832528.698419876</v>
      </c>
      <c r="N10" s="108">
        <f t="shared" si="1"/>
        <v>616892103.94724631</v>
      </c>
    </row>
    <row r="11" spans="1:14" ht="15" customHeight="1" x14ac:dyDescent="0.25">
      <c r="A11" s="110" t="s">
        <v>186</v>
      </c>
      <c r="B11" s="108">
        <f>'Proyección de ventas'!$J$16*'Costos variables de producción'!$E$24</f>
        <v>96151439.629797578</v>
      </c>
      <c r="C11" s="108">
        <f>'Proyección de ventas'!J$17*'Costos variables de producción'!$E$24</f>
        <v>96295666.789242283</v>
      </c>
      <c r="D11" s="108">
        <f>'Proyección de ventas'!$J$18*'Costos variables de producción'!$E$24</f>
        <v>96440110.289426148</v>
      </c>
      <c r="E11" s="108">
        <f>'Proyección de ventas'!$J$19*'Costos variables de producción'!$E$24</f>
        <v>96584770.4548603</v>
      </c>
      <c r="F11" s="108">
        <f>'Proyección de ventas'!$J$20*'Costos variables de producción'!$E$24</f>
        <v>96729647.61054258</v>
      </c>
      <c r="G11" s="108">
        <f>'Proyección de ventas'!$J$21*'Costos variables de producción'!$E$24</f>
        <v>96874742.081958413</v>
      </c>
      <c r="H11" s="108">
        <f>'Proyección de ventas'!$J$22*'Costos variables de producción'!$E$24</f>
        <v>97020054.195081338</v>
      </c>
      <c r="I11" s="108">
        <f>'Proyección de ventas'!$J$23*'Costos variables de producción'!$E$24</f>
        <v>97165584.276373982</v>
      </c>
      <c r="J11" s="108">
        <f>'Proyección de ventas'!$J$24*'Costos variables de producción'!$E$24</f>
        <v>97311332.65278855</v>
      </c>
      <c r="K11" s="108">
        <f>'Proyección de ventas'!$J$25*'Costos variables de producción'!$E$24</f>
        <v>97457299.651767731</v>
      </c>
      <c r="L11" s="108">
        <f>'Proyección de ventas'!$J$26*'Costos variables de producción'!$E$24</f>
        <v>97603485.601245388</v>
      </c>
      <c r="M11" s="108">
        <f>'Proyección de ventas'!$J$27*'Costos variables de producción'!$E$24</f>
        <v>97749890.829647258</v>
      </c>
      <c r="N11" s="108">
        <f t="shared" si="1"/>
        <v>1163384024.0627315</v>
      </c>
    </row>
    <row r="12" spans="1:14" ht="15" customHeight="1" x14ac:dyDescent="0.25">
      <c r="A12" s="105" t="s">
        <v>187</v>
      </c>
      <c r="B12" s="113">
        <f t="shared" ref="B12:M12" si="2">SUM(B3:B11)</f>
        <v>224490346.58620015</v>
      </c>
      <c r="C12" s="113">
        <f t="shared" si="2"/>
        <v>218733941.96954873</v>
      </c>
      <c r="D12" s="113">
        <f t="shared" si="2"/>
        <v>212989834.03645948</v>
      </c>
      <c r="E12" s="113">
        <f t="shared" si="2"/>
        <v>207258041.23195773</v>
      </c>
      <c r="F12" s="113">
        <f t="shared" si="2"/>
        <v>201538582.02873635</v>
      </c>
      <c r="G12" s="113">
        <f t="shared" si="2"/>
        <v>195831474.92719728</v>
      </c>
      <c r="H12" s="113">
        <f t="shared" si="2"/>
        <v>190136738.45549297</v>
      </c>
      <c r="I12" s="113">
        <f t="shared" si="2"/>
        <v>184454391.16956824</v>
      </c>
      <c r="J12" s="113">
        <f t="shared" si="2"/>
        <v>178784451.65320176</v>
      </c>
      <c r="K12" s="113">
        <f t="shared" si="2"/>
        <v>173126938.51804781</v>
      </c>
      <c r="L12" s="113">
        <f t="shared" si="2"/>
        <v>167481870.40367824</v>
      </c>
      <c r="M12" s="113">
        <f t="shared" si="2"/>
        <v>161849265.97762424</v>
      </c>
      <c r="N12" s="114">
        <f t="shared" si="1"/>
        <v>2316675876.9577131</v>
      </c>
    </row>
    <row r="13" spans="1:14" ht="15" customHeight="1" x14ac:dyDescent="0.25">
      <c r="A13" s="109" t="s">
        <v>188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>
        <f t="shared" si="1"/>
        <v>0</v>
      </c>
    </row>
    <row r="14" spans="1:14" ht="15" customHeight="1" x14ac:dyDescent="0.25">
      <c r="A14" s="115" t="s">
        <v>189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>
        <f t="shared" si="1"/>
        <v>0</v>
      </c>
    </row>
    <row r="15" spans="1:14" ht="15" customHeight="1" x14ac:dyDescent="0.25">
      <c r="A15" s="116" t="s">
        <v>190</v>
      </c>
      <c r="B15" s="108">
        <f>'Proyección de ventas'!F16*'Costos variables de producción'!$F$20</f>
        <v>3786530.6411245754</v>
      </c>
      <c r="C15" s="108">
        <f>'Proyección de ventas'!F17*'Costos variables de producción'!$F$20</f>
        <v>3792210.4370862623</v>
      </c>
      <c r="D15" s="108">
        <f>'Proyección de ventas'!F18*'Costos variables de producción'!$F$20</f>
        <v>3797898.7527418924</v>
      </c>
      <c r="E15" s="108">
        <f>'Proyección de ventas'!F19*'Costos variables de producción'!$F$20</f>
        <v>3803595.6008710051</v>
      </c>
      <c r="F15" s="108">
        <f>'Proyección de ventas'!F20*'Costos variables de producción'!$F$20</f>
        <v>3809300.9942723121</v>
      </c>
      <c r="G15" s="108">
        <f>'Proyección de ventas'!F21*'Costos variables de producción'!$F$20</f>
        <v>3815014.9457637207</v>
      </c>
      <c r="H15" s="108">
        <f>'Proyección de ventas'!F22*'Costos variables de producción'!$F$20</f>
        <v>3820737.4681823663</v>
      </c>
      <c r="I15" s="108">
        <f>'Proyección de ventas'!F23*'Costos variables de producción'!$F$20</f>
        <v>3826468.5743846404</v>
      </c>
      <c r="J15" s="108">
        <f>'Proyección de ventas'!F24*'Costos variables de producción'!$F$20</f>
        <v>3832208.2772462177</v>
      </c>
      <c r="K15" s="108">
        <f>'Proyección de ventas'!F25*'Costos variables de producción'!$F$20</f>
        <v>3837956.5896620871</v>
      </c>
      <c r="L15" s="108">
        <f>'Proyección de ventas'!F26*'Costos variables de producción'!$F$20</f>
        <v>3843713.5245465804</v>
      </c>
      <c r="M15" s="108">
        <f>'Proyección de ventas'!F27*'Costos variables de producción'!$F$20</f>
        <v>3849479.0948334006</v>
      </c>
      <c r="N15" s="108">
        <f t="shared" si="1"/>
        <v>45815114.900715061</v>
      </c>
    </row>
    <row r="16" spans="1:14" ht="15" customHeight="1" x14ac:dyDescent="0.25">
      <c r="A16" s="116" t="s">
        <v>191</v>
      </c>
      <c r="B16" s="108">
        <f>'Proyección de ventas'!$G$16*'Costos variables de producción'!$F$22</f>
        <v>48863539.859027565</v>
      </c>
      <c r="C16" s="108">
        <f>'Proyección de ventas'!$G$17*'Costos variables de producción'!$F$22</f>
        <v>48936835.168816105</v>
      </c>
      <c r="D16" s="108">
        <f>'Proyección de ventas'!$G$18*'Costos variables de producción'!$F$22</f>
        <v>49010240.421569325</v>
      </c>
      <c r="E16" s="108">
        <f>'Proyección de ventas'!$G$19*'Costos variables de producción'!$F$22</f>
        <v>49083755.782201685</v>
      </c>
      <c r="F16" s="108">
        <f>'Proyección de ventas'!$G$20*'Costos variables de producción'!$F$22</f>
        <v>49157381.415874988</v>
      </c>
      <c r="G16" s="108">
        <f>'Proyección de ventas'!$G$21*'Costos variables de producción'!$F$22</f>
        <v>49231117.487998806</v>
      </c>
      <c r="H16" s="108">
        <f>'Proyección de ventas'!$G$22*'Costos variables de producción'!$F$22</f>
        <v>49304964.164230809</v>
      </c>
      <c r="I16" s="108">
        <f>'Proyección de ventas'!$G$23*'Costos variables de producción'!$F$22</f>
        <v>49378921.610477157</v>
      </c>
      <c r="J16" s="108">
        <f>'Proyección de ventas'!$G$24*'Costos variables de producción'!$F$22</f>
        <v>49452989.992892876</v>
      </c>
      <c r="K16" s="108">
        <f>'Proyección de ventas'!$G$25*'Costos variables de producción'!$F$22</f>
        <v>49527169.477882214</v>
      </c>
      <c r="L16" s="108">
        <f>'Proyección de ventas'!$G$26*'Costos variables de producción'!$F$22</f>
        <v>49601460.232099041</v>
      </c>
      <c r="M16" s="108">
        <f>'Proyección de ventas'!$G$27*'Costos variables de producción'!$F$22</f>
        <v>49675862.422447197</v>
      </c>
      <c r="N16" s="108">
        <f t="shared" si="1"/>
        <v>591224238.03551769</v>
      </c>
    </row>
    <row r="17" spans="1:14" ht="15" customHeight="1" x14ac:dyDescent="0.25">
      <c r="A17" s="116" t="s">
        <v>192</v>
      </c>
      <c r="B17" s="108">
        <f>'Proyección de ventas'!$H$16*'Costos variables de producción'!$F$21</f>
        <v>16256913.209313903</v>
      </c>
      <c r="C17" s="108">
        <f>'Proyección de ventas'!$H$17*'Costos variables de producción'!$F$21</f>
        <v>16281298.579127874</v>
      </c>
      <c r="D17" s="108">
        <f>'Proyección de ventas'!$H$18*'Costos variables de producción'!$F$21</f>
        <v>16305720.526996566</v>
      </c>
      <c r="E17" s="108">
        <f>'Proyección de ventas'!$H$19*'Costos variables de producción'!$F$21</f>
        <v>16330179.107787061</v>
      </c>
      <c r="F17" s="108">
        <f>'Proyección de ventas'!$H$20*'Costos variables de producción'!$F$21</f>
        <v>16354674.376448745</v>
      </c>
      <c r="G17" s="108">
        <f>'Proyección de ventas'!$H$21*'Costos variables de producción'!$F$21</f>
        <v>16379206.388013417</v>
      </c>
      <c r="H17" s="108">
        <f>'Proyección de ventas'!H$22*'Costos variables de producción'!$F$21</f>
        <v>16403775.197595436</v>
      </c>
      <c r="I17" s="108">
        <f>'Proyección de ventas'!$H$23*'Costos variables de producción'!$F$21</f>
        <v>16428380.860391831</v>
      </c>
      <c r="J17" s="108">
        <f>'Proyección de ventas'!$H$24*'Costos variables de producción'!$F$21</f>
        <v>16453023.431682419</v>
      </c>
      <c r="K17" s="108">
        <f>'Proyección de ventas'!$H$25*'Costos variables de producción'!$F$21</f>
        <v>16477702.966829944</v>
      </c>
      <c r="L17" s="108">
        <f>'Proyección de ventas'!$H$26*'Costos variables de producción'!$F$21</f>
        <v>16502419.52128019</v>
      </c>
      <c r="M17" s="108">
        <f>'Proyección de ventas'!$H$27*'Costos variables de producción'!$F$21</f>
        <v>16527173.150562111</v>
      </c>
      <c r="N17" s="108">
        <f t="shared" si="1"/>
        <v>196700467.31602952</v>
      </c>
    </row>
    <row r="18" spans="1:14" ht="15" customHeight="1" x14ac:dyDescent="0.25">
      <c r="A18" s="116" t="s">
        <v>193</v>
      </c>
      <c r="B18" s="108">
        <f>'Proyección de ventas'!$I$16*'Costos variables de producción'!$F$23</f>
        <v>50972636.02006986</v>
      </c>
      <c r="C18" s="108">
        <f>'Proyección de ventas'!$I$17*'Costos variables de producción'!$F$23</f>
        <v>51049094.974099971</v>
      </c>
      <c r="D18" s="108">
        <f>'Proyección de ventas'!$I$18*'Costos variables de producción'!$F$23</f>
        <v>51125668.616561122</v>
      </c>
      <c r="E18" s="108">
        <f>'Proyección de ventas'!$I$19*'Costos variables de producción'!$F$23</f>
        <v>51202357.119485974</v>
      </c>
      <c r="F18" s="108">
        <f>'Proyección de ventas'!$I$20*'Costos variables de producción'!$F$23</f>
        <v>51279160.65516521</v>
      </c>
      <c r="G18" s="108">
        <f>'Proyección de ventas'!$I$21*'Costos variables de producción'!$F$23</f>
        <v>51356079.396147959</v>
      </c>
      <c r="H18" s="108">
        <f>'Proyección de ventas'!$I$22*'Costos variables de producción'!$F$23</f>
        <v>51433113.515242189</v>
      </c>
      <c r="I18" s="108">
        <f>'Proyección de ventas'!$I$23*'Costos variables de producción'!$F$23</f>
        <v>51510263.185515054</v>
      </c>
      <c r="J18" s="108">
        <f>'Proyección de ventas'!$I$24*'Costos variables de producción'!$F$23</f>
        <v>51587528.580293335</v>
      </c>
      <c r="K18" s="108">
        <f>'Proyección de ventas'!$I$25*'Costos variables de producción'!$F$23</f>
        <v>51664909.873163775</v>
      </c>
      <c r="L18" s="108">
        <f>'Proyección de ventas'!$I$26*'Costos variables de producción'!$F$23</f>
        <v>51742407.237973519</v>
      </c>
      <c r="M18" s="108">
        <f>'Proyección de ventas'!$I$27*'Costos variables de producción'!$F$23</f>
        <v>51820020.848830484</v>
      </c>
      <c r="N18" s="108">
        <f t="shared" si="1"/>
        <v>616743240.02254844</v>
      </c>
    </row>
    <row r="19" spans="1:14" ht="15" customHeight="1" x14ac:dyDescent="0.25">
      <c r="A19" s="116" t="s">
        <v>194</v>
      </c>
      <c r="B19" s="108">
        <f>'Proyección de ventas'!$J$16*'Costos variables de producción'!$F$24</f>
        <v>91394166.978498831</v>
      </c>
      <c r="C19" s="108">
        <f>'Proyección de ventas'!J$17*'Costos variables de producción'!$F$24</f>
        <v>91531258.228966594</v>
      </c>
      <c r="D19" s="108">
        <f>'Proyección de ventas'!$J$18*'Costos variables de producción'!$F$24</f>
        <v>91668555.116310045</v>
      </c>
      <c r="E19" s="108">
        <f>'Proyección de ventas'!$J$19*'Costos variables de producción'!$F$24</f>
        <v>91806057.948984519</v>
      </c>
      <c r="F19" s="108">
        <f>'Proyección de ventas'!$J$20*'Costos variables de producción'!$F$24</f>
        <v>91943767.035907999</v>
      </c>
      <c r="G19" s="108">
        <f>'Proyección de ventas'!$J$21*'Costos variables de producción'!$F$24</f>
        <v>92081682.686461866</v>
      </c>
      <c r="H19" s="108">
        <f>'Proyección de ventas'!$J$22*'Costos variables de producción'!$F$24</f>
        <v>92219805.210491553</v>
      </c>
      <c r="I19" s="108">
        <f>'Proyección de ventas'!$J$23*'Costos variables de producción'!$F$24</f>
        <v>92358134.918307304</v>
      </c>
      <c r="J19" s="108">
        <f>'Proyección de ventas'!$J$24*'Costos variables de producción'!$F$24</f>
        <v>92496672.120684773</v>
      </c>
      <c r="K19" s="108">
        <f>'Proyección de ventas'!$J$25*'Costos variables de producción'!$F$24</f>
        <v>92635417.128865793</v>
      </c>
      <c r="L19" s="108">
        <f>'Proyección de ventas'!$J$26*'Costos variables de producción'!$F$24</f>
        <v>92774370.254559115</v>
      </c>
      <c r="M19" s="108">
        <f>'Proyección de ventas'!$J$27*'Costos variables de producción'!$F$24</f>
        <v>92913531.809940949</v>
      </c>
      <c r="N19" s="108">
        <f t="shared" si="1"/>
        <v>1105823419.4379795</v>
      </c>
    </row>
    <row r="20" spans="1:14" ht="15" customHeight="1" x14ac:dyDescent="0.25">
      <c r="A20" s="115" t="s">
        <v>119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>
        <f t="shared" si="1"/>
        <v>0</v>
      </c>
    </row>
    <row r="21" spans="1:14" ht="15" customHeight="1" x14ac:dyDescent="0.25">
      <c r="A21" s="106" t="s">
        <v>121</v>
      </c>
      <c r="B21" s="111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>
        <f t="shared" si="1"/>
        <v>0</v>
      </c>
    </row>
    <row r="22" spans="1:14" ht="15" customHeight="1" x14ac:dyDescent="0.25">
      <c r="A22" s="106" t="s">
        <v>26</v>
      </c>
      <c r="B22" s="108"/>
      <c r="C22" s="108"/>
      <c r="D22" s="108"/>
      <c r="E22" s="108"/>
      <c r="F22" s="108"/>
      <c r="G22" s="108"/>
      <c r="H22" s="108"/>
      <c r="I22" s="111"/>
      <c r="J22" s="108"/>
      <c r="K22" s="108"/>
      <c r="L22" s="108"/>
      <c r="M22" s="108"/>
      <c r="N22" s="108">
        <f t="shared" si="1"/>
        <v>0</v>
      </c>
    </row>
    <row r="23" spans="1:14" ht="15" customHeight="1" x14ac:dyDescent="0.25">
      <c r="A23" s="106" t="s">
        <v>122</v>
      </c>
      <c r="B23" s="108">
        <f t="shared" ref="B23:M23" si="3">$N$23/12</f>
        <v>5830000</v>
      </c>
      <c r="C23" s="108">
        <f t="shared" si="3"/>
        <v>5830000</v>
      </c>
      <c r="D23" s="108">
        <f t="shared" si="3"/>
        <v>5830000</v>
      </c>
      <c r="E23" s="108">
        <f t="shared" si="3"/>
        <v>5830000</v>
      </c>
      <c r="F23" s="108">
        <f t="shared" si="3"/>
        <v>5830000</v>
      </c>
      <c r="G23" s="108">
        <f t="shared" si="3"/>
        <v>5830000</v>
      </c>
      <c r="H23" s="108">
        <f t="shared" si="3"/>
        <v>5830000</v>
      </c>
      <c r="I23" s="108">
        <f t="shared" si="3"/>
        <v>5830000</v>
      </c>
      <c r="J23" s="108">
        <f t="shared" si="3"/>
        <v>5830000</v>
      </c>
      <c r="K23" s="108">
        <f t="shared" si="3"/>
        <v>5830000</v>
      </c>
      <c r="L23" s="108">
        <f t="shared" si="3"/>
        <v>5830000</v>
      </c>
      <c r="M23" s="108">
        <f t="shared" si="3"/>
        <v>5830000</v>
      </c>
      <c r="N23" s="108">
        <f>'Proyección de gastos'!G8</f>
        <v>69960000</v>
      </c>
    </row>
    <row r="24" spans="1:14" ht="15" customHeight="1" x14ac:dyDescent="0.25">
      <c r="A24" s="118" t="s">
        <v>87</v>
      </c>
      <c r="B24" s="108">
        <f t="shared" ref="B24:M24" si="4">$N$24/12</f>
        <v>55800</v>
      </c>
      <c r="C24" s="108">
        <f t="shared" si="4"/>
        <v>55800</v>
      </c>
      <c r="D24" s="108">
        <f t="shared" si="4"/>
        <v>55800</v>
      </c>
      <c r="E24" s="108">
        <f t="shared" si="4"/>
        <v>55800</v>
      </c>
      <c r="F24" s="108">
        <f t="shared" si="4"/>
        <v>55800</v>
      </c>
      <c r="G24" s="108">
        <f t="shared" si="4"/>
        <v>55800</v>
      </c>
      <c r="H24" s="108">
        <f t="shared" si="4"/>
        <v>55800</v>
      </c>
      <c r="I24" s="108">
        <f t="shared" si="4"/>
        <v>55800</v>
      </c>
      <c r="J24" s="108">
        <f t="shared" si="4"/>
        <v>55800</v>
      </c>
      <c r="K24" s="108">
        <f t="shared" si="4"/>
        <v>55800</v>
      </c>
      <c r="L24" s="108">
        <f t="shared" si="4"/>
        <v>55800</v>
      </c>
      <c r="M24" s="108">
        <f t="shared" si="4"/>
        <v>55800</v>
      </c>
      <c r="N24" s="108">
        <f>'Proyección de gastos'!G9</f>
        <v>669600</v>
      </c>
    </row>
    <row r="25" spans="1:14" ht="15" customHeight="1" x14ac:dyDescent="0.25">
      <c r="A25" s="106" t="s">
        <v>123</v>
      </c>
      <c r="B25" s="108">
        <f t="shared" ref="B25:M25" si="5">$N$25/12</f>
        <v>1300000</v>
      </c>
      <c r="C25" s="108">
        <f t="shared" si="5"/>
        <v>1300000</v>
      </c>
      <c r="D25" s="108">
        <f t="shared" si="5"/>
        <v>1300000</v>
      </c>
      <c r="E25" s="108">
        <f t="shared" si="5"/>
        <v>1300000</v>
      </c>
      <c r="F25" s="108">
        <f t="shared" si="5"/>
        <v>1300000</v>
      </c>
      <c r="G25" s="108">
        <f t="shared" si="5"/>
        <v>1300000</v>
      </c>
      <c r="H25" s="108">
        <f t="shared" si="5"/>
        <v>1300000</v>
      </c>
      <c r="I25" s="108">
        <f t="shared" si="5"/>
        <v>1300000</v>
      </c>
      <c r="J25" s="108">
        <f t="shared" si="5"/>
        <v>1300000</v>
      </c>
      <c r="K25" s="108">
        <f t="shared" si="5"/>
        <v>1300000</v>
      </c>
      <c r="L25" s="108">
        <f t="shared" si="5"/>
        <v>1300000</v>
      </c>
      <c r="M25" s="108">
        <f t="shared" si="5"/>
        <v>1300000</v>
      </c>
      <c r="N25" s="108">
        <f>'Proyección de gastos'!G10</f>
        <v>15600000</v>
      </c>
    </row>
    <row r="26" spans="1:14" ht="15" customHeight="1" x14ac:dyDescent="0.25">
      <c r="A26" s="106" t="s">
        <v>124</v>
      </c>
      <c r="B26" s="108">
        <f t="shared" ref="B26:M26" si="6">$N$26/12</f>
        <v>400000</v>
      </c>
      <c r="C26" s="108">
        <f t="shared" si="6"/>
        <v>400000</v>
      </c>
      <c r="D26" s="108">
        <f t="shared" si="6"/>
        <v>400000</v>
      </c>
      <c r="E26" s="108">
        <f t="shared" si="6"/>
        <v>400000</v>
      </c>
      <c r="F26" s="108">
        <f t="shared" si="6"/>
        <v>400000</v>
      </c>
      <c r="G26" s="108">
        <f t="shared" si="6"/>
        <v>400000</v>
      </c>
      <c r="H26" s="108">
        <f t="shared" si="6"/>
        <v>400000</v>
      </c>
      <c r="I26" s="108">
        <f t="shared" si="6"/>
        <v>400000</v>
      </c>
      <c r="J26" s="108">
        <f t="shared" si="6"/>
        <v>400000</v>
      </c>
      <c r="K26" s="108">
        <f t="shared" si="6"/>
        <v>400000</v>
      </c>
      <c r="L26" s="108">
        <f t="shared" si="6"/>
        <v>400000</v>
      </c>
      <c r="M26" s="108">
        <f t="shared" si="6"/>
        <v>400000</v>
      </c>
      <c r="N26" s="108">
        <f>'Proyección de gastos'!G11</f>
        <v>4800000</v>
      </c>
    </row>
    <row r="27" spans="1:14" ht="15" customHeight="1" x14ac:dyDescent="0.25">
      <c r="A27" s="106" t="s">
        <v>125</v>
      </c>
      <c r="B27" s="108">
        <f t="shared" ref="B27:M27" si="7">$N$27/12</f>
        <v>700000</v>
      </c>
      <c r="C27" s="108">
        <f t="shared" si="7"/>
        <v>700000</v>
      </c>
      <c r="D27" s="108">
        <f t="shared" si="7"/>
        <v>700000</v>
      </c>
      <c r="E27" s="108">
        <f t="shared" si="7"/>
        <v>700000</v>
      </c>
      <c r="F27" s="108">
        <f t="shared" si="7"/>
        <v>700000</v>
      </c>
      <c r="G27" s="108">
        <f t="shared" si="7"/>
        <v>700000</v>
      </c>
      <c r="H27" s="108">
        <f t="shared" si="7"/>
        <v>700000</v>
      </c>
      <c r="I27" s="108">
        <f t="shared" si="7"/>
        <v>700000</v>
      </c>
      <c r="J27" s="108">
        <f t="shared" si="7"/>
        <v>700000</v>
      </c>
      <c r="K27" s="108">
        <f t="shared" si="7"/>
        <v>700000</v>
      </c>
      <c r="L27" s="108">
        <f t="shared" si="7"/>
        <v>700000</v>
      </c>
      <c r="M27" s="108">
        <f t="shared" si="7"/>
        <v>700000</v>
      </c>
      <c r="N27" s="108">
        <f>'Proyección de gastos'!G12</f>
        <v>8400000</v>
      </c>
    </row>
    <row r="28" spans="1:14" ht="15.75" x14ac:dyDescent="0.25">
      <c r="A28" s="106" t="s">
        <v>102</v>
      </c>
      <c r="B28" s="108">
        <f t="shared" ref="B28:M28" si="8">$N$28/12</f>
        <v>676242.02722000005</v>
      </c>
      <c r="C28" s="108">
        <f t="shared" si="8"/>
        <v>676242.02722000005</v>
      </c>
      <c r="D28" s="108">
        <f t="shared" si="8"/>
        <v>676242.02722000005</v>
      </c>
      <c r="E28" s="108">
        <f t="shared" si="8"/>
        <v>676242.02722000005</v>
      </c>
      <c r="F28" s="108">
        <f t="shared" si="8"/>
        <v>676242.02722000005</v>
      </c>
      <c r="G28" s="108">
        <f t="shared" si="8"/>
        <v>676242.02722000005</v>
      </c>
      <c r="H28" s="108">
        <f t="shared" si="8"/>
        <v>676242.02722000005</v>
      </c>
      <c r="I28" s="108">
        <f t="shared" si="8"/>
        <v>676242.02722000005</v>
      </c>
      <c r="J28" s="108">
        <f t="shared" si="8"/>
        <v>676242.02722000005</v>
      </c>
      <c r="K28" s="108">
        <f t="shared" si="8"/>
        <v>676242.02722000005</v>
      </c>
      <c r="L28" s="108">
        <f t="shared" si="8"/>
        <v>676242.02722000005</v>
      </c>
      <c r="M28" s="108">
        <f t="shared" si="8"/>
        <v>676242.02722000005</v>
      </c>
      <c r="N28" s="108">
        <f>'Proyección de gastos'!G13</f>
        <v>8114904.3266400006</v>
      </c>
    </row>
    <row r="29" spans="1:14" ht="15.75" x14ac:dyDescent="0.25">
      <c r="A29" s="106" t="s">
        <v>126</v>
      </c>
      <c r="B29" s="108">
        <f t="shared" ref="B29:M29" si="9">$N$29/12</f>
        <v>876399.41333333345</v>
      </c>
      <c r="C29" s="108">
        <f t="shared" si="9"/>
        <v>876399.41333333345</v>
      </c>
      <c r="D29" s="108">
        <f t="shared" si="9"/>
        <v>876399.41333333345</v>
      </c>
      <c r="E29" s="108">
        <f t="shared" si="9"/>
        <v>876399.41333333345</v>
      </c>
      <c r="F29" s="108">
        <f t="shared" si="9"/>
        <v>876399.41333333345</v>
      </c>
      <c r="G29" s="108">
        <f t="shared" si="9"/>
        <v>876399.41333333345</v>
      </c>
      <c r="H29" s="108">
        <f t="shared" si="9"/>
        <v>876399.41333333345</v>
      </c>
      <c r="I29" s="108">
        <f t="shared" si="9"/>
        <v>876399.41333333345</v>
      </c>
      <c r="J29" s="108">
        <f t="shared" si="9"/>
        <v>876399.41333333345</v>
      </c>
      <c r="K29" s="108">
        <f t="shared" si="9"/>
        <v>876399.41333333345</v>
      </c>
      <c r="L29" s="108">
        <f t="shared" si="9"/>
        <v>876399.41333333345</v>
      </c>
      <c r="M29" s="108">
        <f t="shared" si="9"/>
        <v>876399.41333333345</v>
      </c>
      <c r="N29" s="108">
        <f>'Proyección de gastos'!G14</f>
        <v>10516792.960000001</v>
      </c>
    </row>
    <row r="30" spans="1:14" ht="15.75" x14ac:dyDescent="0.25">
      <c r="A30" s="106" t="s">
        <v>127</v>
      </c>
      <c r="B30" s="108">
        <f t="shared" ref="B30:M30" si="10">$N$30/12</f>
        <v>250670.63203333333</v>
      </c>
      <c r="C30" s="108">
        <f t="shared" si="10"/>
        <v>250670.63203333333</v>
      </c>
      <c r="D30" s="108">
        <f t="shared" si="10"/>
        <v>250670.63203333333</v>
      </c>
      <c r="E30" s="108">
        <f t="shared" si="10"/>
        <v>250670.63203333333</v>
      </c>
      <c r="F30" s="108">
        <f t="shared" si="10"/>
        <v>250670.63203333333</v>
      </c>
      <c r="G30" s="108">
        <f t="shared" si="10"/>
        <v>250670.63203333333</v>
      </c>
      <c r="H30" s="108">
        <f t="shared" si="10"/>
        <v>250670.63203333333</v>
      </c>
      <c r="I30" s="108">
        <f t="shared" si="10"/>
        <v>250670.63203333333</v>
      </c>
      <c r="J30" s="108">
        <f t="shared" si="10"/>
        <v>250670.63203333333</v>
      </c>
      <c r="K30" s="108">
        <f t="shared" si="10"/>
        <v>250670.63203333333</v>
      </c>
      <c r="L30" s="108">
        <f t="shared" si="10"/>
        <v>250670.63203333333</v>
      </c>
      <c r="M30" s="108">
        <f t="shared" si="10"/>
        <v>250670.63203333333</v>
      </c>
      <c r="N30" s="108">
        <f>'Proyección de gastos'!G15</f>
        <v>3008047.5844000001</v>
      </c>
    </row>
    <row r="31" spans="1:14" ht="15.75" x14ac:dyDescent="0.25">
      <c r="A31" s="106" t="s">
        <v>128</v>
      </c>
      <c r="B31" s="108">
        <f t="shared" ref="B31:M31" si="11">$N$31/12</f>
        <v>120000</v>
      </c>
      <c r="C31" s="108">
        <f t="shared" si="11"/>
        <v>120000</v>
      </c>
      <c r="D31" s="108">
        <f t="shared" si="11"/>
        <v>120000</v>
      </c>
      <c r="E31" s="108">
        <f t="shared" si="11"/>
        <v>120000</v>
      </c>
      <c r="F31" s="108">
        <f t="shared" si="11"/>
        <v>120000</v>
      </c>
      <c r="G31" s="108">
        <f t="shared" si="11"/>
        <v>120000</v>
      </c>
      <c r="H31" s="108">
        <f t="shared" si="11"/>
        <v>120000</v>
      </c>
      <c r="I31" s="108">
        <f t="shared" si="11"/>
        <v>120000</v>
      </c>
      <c r="J31" s="108">
        <f t="shared" si="11"/>
        <v>120000</v>
      </c>
      <c r="K31" s="108">
        <f t="shared" si="11"/>
        <v>120000</v>
      </c>
      <c r="L31" s="108">
        <f t="shared" si="11"/>
        <v>120000</v>
      </c>
      <c r="M31" s="108">
        <f t="shared" si="11"/>
        <v>120000</v>
      </c>
      <c r="N31" s="108">
        <f>'Proyección de gastos'!G16</f>
        <v>1440000</v>
      </c>
    </row>
    <row r="32" spans="1:14" ht="15.75" x14ac:dyDescent="0.25">
      <c r="A32" s="106" t="s">
        <v>129</v>
      </c>
      <c r="B32" s="108">
        <f t="shared" ref="B32:M32" si="12">$N$32/12</f>
        <v>140000</v>
      </c>
      <c r="C32" s="108">
        <f t="shared" si="12"/>
        <v>140000</v>
      </c>
      <c r="D32" s="108">
        <f t="shared" si="12"/>
        <v>140000</v>
      </c>
      <c r="E32" s="108">
        <f t="shared" si="12"/>
        <v>140000</v>
      </c>
      <c r="F32" s="108">
        <f t="shared" si="12"/>
        <v>140000</v>
      </c>
      <c r="G32" s="108">
        <f t="shared" si="12"/>
        <v>140000</v>
      </c>
      <c r="H32" s="108">
        <f t="shared" si="12"/>
        <v>140000</v>
      </c>
      <c r="I32" s="108">
        <f t="shared" si="12"/>
        <v>140000</v>
      </c>
      <c r="J32" s="108">
        <f t="shared" si="12"/>
        <v>140000</v>
      </c>
      <c r="K32" s="108">
        <f t="shared" si="12"/>
        <v>140000</v>
      </c>
      <c r="L32" s="108">
        <f t="shared" si="12"/>
        <v>140000</v>
      </c>
      <c r="M32" s="108">
        <f t="shared" si="12"/>
        <v>140000</v>
      </c>
      <c r="N32" s="108">
        <f>'Proyección de gastos'!G17</f>
        <v>1680000</v>
      </c>
    </row>
    <row r="33" spans="1:14" ht="15.75" x14ac:dyDescent="0.25">
      <c r="A33" s="106" t="s">
        <v>74</v>
      </c>
      <c r="B33" s="108">
        <f t="shared" ref="B33:M33" si="13">$N$33/12</f>
        <v>2097000</v>
      </c>
      <c r="C33" s="108">
        <f t="shared" si="13"/>
        <v>2097000</v>
      </c>
      <c r="D33" s="108">
        <f t="shared" si="13"/>
        <v>2097000</v>
      </c>
      <c r="E33" s="108">
        <f t="shared" si="13"/>
        <v>2097000</v>
      </c>
      <c r="F33" s="108">
        <f t="shared" si="13"/>
        <v>2097000</v>
      </c>
      <c r="G33" s="108">
        <f t="shared" si="13"/>
        <v>2097000</v>
      </c>
      <c r="H33" s="108">
        <f t="shared" si="13"/>
        <v>2097000</v>
      </c>
      <c r="I33" s="108">
        <f t="shared" si="13"/>
        <v>2097000</v>
      </c>
      <c r="J33" s="108">
        <f t="shared" si="13"/>
        <v>2097000</v>
      </c>
      <c r="K33" s="108">
        <f t="shared" si="13"/>
        <v>2097000</v>
      </c>
      <c r="L33" s="108">
        <f t="shared" si="13"/>
        <v>2097000</v>
      </c>
      <c r="M33" s="108">
        <f t="shared" si="13"/>
        <v>2097000</v>
      </c>
      <c r="N33" s="108">
        <f>'Proyección de gastos'!G18</f>
        <v>25164000</v>
      </c>
    </row>
    <row r="34" spans="1:14" ht="15.75" x14ac:dyDescent="0.25">
      <c r="A34" s="106" t="s">
        <v>130</v>
      </c>
      <c r="B34" s="108">
        <f t="shared" ref="B34:M34" si="14">$N$34/12</f>
        <v>13333.333333333334</v>
      </c>
      <c r="C34" s="108">
        <f t="shared" si="14"/>
        <v>13333.333333333334</v>
      </c>
      <c r="D34" s="108">
        <f t="shared" si="14"/>
        <v>13333.333333333334</v>
      </c>
      <c r="E34" s="108">
        <f t="shared" si="14"/>
        <v>13333.333333333334</v>
      </c>
      <c r="F34" s="108">
        <f t="shared" si="14"/>
        <v>13333.333333333334</v>
      </c>
      <c r="G34" s="108">
        <f t="shared" si="14"/>
        <v>13333.333333333334</v>
      </c>
      <c r="H34" s="108">
        <f t="shared" si="14"/>
        <v>13333.333333333334</v>
      </c>
      <c r="I34" s="108">
        <f t="shared" si="14"/>
        <v>13333.333333333334</v>
      </c>
      <c r="J34" s="108">
        <f t="shared" si="14"/>
        <v>13333.333333333334</v>
      </c>
      <c r="K34" s="108">
        <f t="shared" si="14"/>
        <v>13333.333333333334</v>
      </c>
      <c r="L34" s="108">
        <f t="shared" si="14"/>
        <v>13333.333333333334</v>
      </c>
      <c r="M34" s="108">
        <f t="shared" si="14"/>
        <v>13333.333333333334</v>
      </c>
      <c r="N34" s="108">
        <f>'Proyección de gastos'!G19</f>
        <v>160000</v>
      </c>
    </row>
    <row r="35" spans="1:14" ht="15.75" x14ac:dyDescent="0.25">
      <c r="A35" s="118" t="s">
        <v>131</v>
      </c>
      <c r="B35" s="108">
        <f t="shared" ref="B35:M35" si="15">$N$35/12</f>
        <v>500000</v>
      </c>
      <c r="C35" s="108">
        <f t="shared" si="15"/>
        <v>500000</v>
      </c>
      <c r="D35" s="108">
        <f t="shared" si="15"/>
        <v>500000</v>
      </c>
      <c r="E35" s="108">
        <f t="shared" si="15"/>
        <v>500000</v>
      </c>
      <c r="F35" s="108">
        <f t="shared" si="15"/>
        <v>500000</v>
      </c>
      <c r="G35" s="108">
        <f t="shared" si="15"/>
        <v>500000</v>
      </c>
      <c r="H35" s="108">
        <f t="shared" si="15"/>
        <v>500000</v>
      </c>
      <c r="I35" s="108">
        <f t="shared" si="15"/>
        <v>500000</v>
      </c>
      <c r="J35" s="108">
        <f t="shared" si="15"/>
        <v>500000</v>
      </c>
      <c r="K35" s="108">
        <f t="shared" si="15"/>
        <v>500000</v>
      </c>
      <c r="L35" s="108">
        <f t="shared" si="15"/>
        <v>500000</v>
      </c>
      <c r="M35" s="108">
        <f t="shared" si="15"/>
        <v>500000</v>
      </c>
      <c r="N35" s="108">
        <f>'Proyección de gastos'!G20</f>
        <v>6000000</v>
      </c>
    </row>
    <row r="36" spans="1:14" ht="15.75" x14ac:dyDescent="0.25">
      <c r="A36" s="106" t="s">
        <v>132</v>
      </c>
      <c r="B36" s="108">
        <f t="shared" ref="B36:M36" si="16">$N$36/12</f>
        <v>400000</v>
      </c>
      <c r="C36" s="108">
        <f t="shared" si="16"/>
        <v>400000</v>
      </c>
      <c r="D36" s="108">
        <f t="shared" si="16"/>
        <v>400000</v>
      </c>
      <c r="E36" s="108">
        <f t="shared" si="16"/>
        <v>400000</v>
      </c>
      <c r="F36" s="108">
        <f t="shared" si="16"/>
        <v>400000</v>
      </c>
      <c r="G36" s="108">
        <f t="shared" si="16"/>
        <v>400000</v>
      </c>
      <c r="H36" s="108">
        <f t="shared" si="16"/>
        <v>400000</v>
      </c>
      <c r="I36" s="108">
        <f t="shared" si="16"/>
        <v>400000</v>
      </c>
      <c r="J36" s="108">
        <f t="shared" si="16"/>
        <v>400000</v>
      </c>
      <c r="K36" s="108">
        <f t="shared" si="16"/>
        <v>400000</v>
      </c>
      <c r="L36" s="108">
        <f t="shared" si="16"/>
        <v>400000</v>
      </c>
      <c r="M36" s="108">
        <f t="shared" si="16"/>
        <v>400000</v>
      </c>
      <c r="N36" s="108">
        <f>'Proyección de gastos'!G21</f>
        <v>4800000</v>
      </c>
    </row>
    <row r="37" spans="1:14" ht="15.75" x14ac:dyDescent="0.25">
      <c r="A37" s="115" t="s">
        <v>195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>
        <f t="shared" ref="N37:N40" si="17">SUM(B37:M37)</f>
        <v>0</v>
      </c>
    </row>
    <row r="38" spans="1:14" ht="15.75" x14ac:dyDescent="0.25">
      <c r="A38" s="106" t="s">
        <v>196</v>
      </c>
      <c r="B38" s="108">
        <f>'Amortizaciones '!$D$14</f>
        <v>267127.31834602566</v>
      </c>
      <c r="C38" s="108">
        <f>'Amortizaciones '!$D$15</f>
        <v>263032.0566733639</v>
      </c>
      <c r="D38" s="108">
        <f>'Amortizaciones '!$D$16</f>
        <v>258885.60422979385</v>
      </c>
      <c r="E38" s="108">
        <f>'Amortizaciones '!$D$17</f>
        <v>254687.32113067919</v>
      </c>
      <c r="F38" s="108">
        <f>'Amortizaciones '!$D$18</f>
        <v>250436.55949282559</v>
      </c>
      <c r="G38" s="108">
        <f>'Amortizaciones '!$D$19</f>
        <v>246132.66333449882</v>
      </c>
      <c r="H38" s="108">
        <f>'Amortizaciones '!$D$20</f>
        <v>241774.96847419295</v>
      </c>
      <c r="I38" s="108">
        <f>'Amortizaciones '!$D$21</f>
        <v>237362.80242813326</v>
      </c>
      <c r="J38" s="108">
        <f>'Amortizaciones '!$D$22</f>
        <v>232895.48430649782</v>
      </c>
      <c r="K38" s="108">
        <f>'Amortizaciones '!$D$23</f>
        <v>228372.32470834194</v>
      </c>
      <c r="L38" s="108">
        <f>'Amortizaciones '!$D$24</f>
        <v>223792.62561520908</v>
      </c>
      <c r="M38" s="108">
        <f>'Amortizaciones '!$D$25</f>
        <v>219155.68028341208</v>
      </c>
      <c r="N38" s="108">
        <f t="shared" si="17"/>
        <v>2923655.4090229743</v>
      </c>
    </row>
    <row r="39" spans="1:14" ht="15.75" x14ac:dyDescent="0.25">
      <c r="A39" s="106" t="s">
        <v>197</v>
      </c>
      <c r="B39" s="108">
        <f>'Amortizaciones '!$E$14</f>
        <v>327620.93381294259</v>
      </c>
      <c r="C39" s="108">
        <f>'Amortizaciones '!$E$15</f>
        <v>331716.19548560434</v>
      </c>
      <c r="D39" s="108">
        <f>'Amortizaciones '!$E$16</f>
        <v>335862.64792917436</v>
      </c>
      <c r="E39" s="108">
        <f>'Amortizaciones '!$E$17</f>
        <v>340060.93102828902</v>
      </c>
      <c r="F39" s="108">
        <f>'Amortizaciones '!$E$18</f>
        <v>344311.69266614266</v>
      </c>
      <c r="G39" s="108">
        <f>'Amortizaciones '!$E$19</f>
        <v>348615.58882446942</v>
      </c>
      <c r="H39" s="108">
        <f>'Amortizaciones '!$E$20</f>
        <v>352973.28368477529</v>
      </c>
      <c r="I39" s="108">
        <f>'Amortizaciones '!$E$21</f>
        <v>357385.44973083498</v>
      </c>
      <c r="J39" s="108">
        <f>'Amortizaciones '!$E$22</f>
        <v>361852.7678524704</v>
      </c>
      <c r="K39" s="108">
        <f>'Amortizaciones '!$E$23</f>
        <v>366375.92745062627</v>
      </c>
      <c r="L39" s="108">
        <f>'Amortizaciones '!$E$24</f>
        <v>370955.62654375914</v>
      </c>
      <c r="M39" s="108">
        <f>'Amortizaciones '!$E$25</f>
        <v>375592.57187555614</v>
      </c>
      <c r="N39" s="108">
        <f t="shared" si="17"/>
        <v>4213323.6168846451</v>
      </c>
    </row>
    <row r="40" spans="1:14" ht="15.75" x14ac:dyDescent="0.25">
      <c r="A40" s="106" t="s">
        <v>198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>
        <f t="shared" si="17"/>
        <v>0</v>
      </c>
    </row>
    <row r="41" spans="1:14" ht="15.75" x14ac:dyDescent="0.25">
      <c r="A41" s="106" t="s">
        <v>202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</row>
    <row r="42" spans="1:14" ht="15.75" x14ac:dyDescent="0.25">
      <c r="A42" s="120" t="s">
        <v>199</v>
      </c>
      <c r="B42" s="121">
        <f t="shared" ref="B42:M42" si="18">SUM(B13:B40)</f>
        <v>225227980.36611375</v>
      </c>
      <c r="C42" s="121">
        <f t="shared" si="18"/>
        <v>225544891.04617581</v>
      </c>
      <c r="D42" s="121">
        <f t="shared" si="18"/>
        <v>225862277.09225795</v>
      </c>
      <c r="E42" s="121">
        <f t="shared" si="18"/>
        <v>226180139.21740922</v>
      </c>
      <c r="F42" s="121">
        <f t="shared" si="18"/>
        <v>226498478.13574824</v>
      </c>
      <c r="G42" s="121">
        <f t="shared" si="18"/>
        <v>226817294.56246477</v>
      </c>
      <c r="H42" s="121">
        <f t="shared" si="18"/>
        <v>227136589.21382135</v>
      </c>
      <c r="I42" s="121">
        <f t="shared" si="18"/>
        <v>227456362.80715498</v>
      </c>
      <c r="J42" s="121">
        <f t="shared" si="18"/>
        <v>227776616.0608786</v>
      </c>
      <c r="K42" s="121">
        <f t="shared" si="18"/>
        <v>228097349.69448283</v>
      </c>
      <c r="L42" s="121">
        <f t="shared" si="18"/>
        <v>228418564.42853746</v>
      </c>
      <c r="M42" s="121">
        <f t="shared" si="18"/>
        <v>228740260.98469311</v>
      </c>
      <c r="N42" s="114">
        <f t="shared" ref="N42:N43" si="19">SUM(B42:M42)</f>
        <v>2723756803.6097379</v>
      </c>
    </row>
    <row r="43" spans="1:14" ht="15.75" x14ac:dyDescent="0.25">
      <c r="A43" s="120" t="s">
        <v>200</v>
      </c>
      <c r="B43" s="121">
        <f t="shared" ref="B43:M43" si="20">B12-B42</f>
        <v>-737633.77991360426</v>
      </c>
      <c r="C43" s="121">
        <f t="shared" si="20"/>
        <v>-6810949.0766270757</v>
      </c>
      <c r="D43" s="121">
        <f t="shared" si="20"/>
        <v>-12872443.055798471</v>
      </c>
      <c r="E43" s="121">
        <f t="shared" si="20"/>
        <v>-18922097.98545149</v>
      </c>
      <c r="F43" s="121">
        <f t="shared" si="20"/>
        <v>-24959896.107011884</v>
      </c>
      <c r="G43" s="121">
        <f t="shared" si="20"/>
        <v>-30985819.635267496</v>
      </c>
      <c r="H43" s="121">
        <f t="shared" si="20"/>
        <v>-36999850.758328378</v>
      </c>
      <c r="I43" s="121">
        <f t="shared" si="20"/>
        <v>-43001971.637586743</v>
      </c>
      <c r="J43" s="121">
        <f t="shared" si="20"/>
        <v>-48992164.407676846</v>
      </c>
      <c r="K43" s="121">
        <f t="shared" si="20"/>
        <v>-54970411.176435024</v>
      </c>
      <c r="L43" s="121">
        <f t="shared" si="20"/>
        <v>-60936694.02485922</v>
      </c>
      <c r="M43" s="121">
        <f t="shared" si="20"/>
        <v>-66890995.007068872</v>
      </c>
      <c r="N43" s="114">
        <f t="shared" si="19"/>
        <v>-407080926.6520251</v>
      </c>
    </row>
  </sheetData>
  <mergeCells count="1">
    <mergeCell ref="A1:N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outlinePr summaryBelow="0" summaryRight="0"/>
  </sheetPr>
  <dimension ref="A1:N43"/>
  <sheetViews>
    <sheetView workbookViewId="0">
      <selection sqref="A1:N1"/>
    </sheetView>
  </sheetViews>
  <sheetFormatPr baseColWidth="10" defaultColWidth="11.21875" defaultRowHeight="15" customHeight="1" x14ac:dyDescent="0.2"/>
  <cols>
    <col min="1" max="1" width="34.5546875" customWidth="1"/>
  </cols>
  <sheetData>
    <row r="1" spans="1:14" ht="28.5" customHeight="1" x14ac:dyDescent="0.4">
      <c r="A1" s="190" t="s">
        <v>203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2"/>
    </row>
    <row r="2" spans="1:14" ht="15" customHeight="1" x14ac:dyDescent="0.25">
      <c r="A2" s="104"/>
      <c r="B2" s="105" t="s">
        <v>166</v>
      </c>
      <c r="C2" s="105" t="s">
        <v>167</v>
      </c>
      <c r="D2" s="105" t="s">
        <v>168</v>
      </c>
      <c r="E2" s="105" t="s">
        <v>169</v>
      </c>
      <c r="F2" s="105" t="s">
        <v>170</v>
      </c>
      <c r="G2" s="105" t="s">
        <v>171</v>
      </c>
      <c r="H2" s="105" t="s">
        <v>172</v>
      </c>
      <c r="I2" s="105" t="s">
        <v>173</v>
      </c>
      <c r="J2" s="105" t="s">
        <v>174</v>
      </c>
      <c r="K2" s="105" t="s">
        <v>175</v>
      </c>
      <c r="L2" s="105" t="s">
        <v>176</v>
      </c>
      <c r="M2" s="105" t="s">
        <v>177</v>
      </c>
      <c r="N2" s="105" t="s">
        <v>24</v>
      </c>
    </row>
    <row r="3" spans="1:14" ht="15" customHeight="1" x14ac:dyDescent="0.25">
      <c r="A3" s="106" t="s">
        <v>178</v>
      </c>
      <c r="B3" s="108">
        <f>'Flujo de efectivo año 2'!M43</f>
        <v>-66890995.007068872</v>
      </c>
      <c r="C3" s="108">
        <f t="shared" ref="C3:M3" si="0">B43</f>
        <v>-73115180.448329598</v>
      </c>
      <c r="D3" s="108">
        <f t="shared" si="0"/>
        <v>-79327348.050817996</v>
      </c>
      <c r="E3" s="108">
        <f t="shared" si="0"/>
        <v>-85527479.787775874</v>
      </c>
      <c r="F3" s="108">
        <f t="shared" si="0"/>
        <v>-91715557.605404973</v>
      </c>
      <c r="G3" s="108">
        <f t="shared" si="0"/>
        <v>-97891563.42282632</v>
      </c>
      <c r="H3" s="108">
        <f t="shared" si="0"/>
        <v>-104055479.13203959</v>
      </c>
      <c r="I3" s="108">
        <f t="shared" si="0"/>
        <v>-110207286.59788245</v>
      </c>
      <c r="J3" s="108">
        <f t="shared" si="0"/>
        <v>-116346967.65798983</v>
      </c>
      <c r="K3" s="108">
        <f t="shared" si="0"/>
        <v>-122474504.12275317</v>
      </c>
      <c r="L3" s="108">
        <f t="shared" si="0"/>
        <v>-128589877.77527946</v>
      </c>
      <c r="M3" s="108">
        <f t="shared" si="0"/>
        <v>-134693070.37135032</v>
      </c>
      <c r="N3" s="108">
        <f t="shared" ref="N3:N12" si="1">SUM(B3:M3)</f>
        <v>-1210835309.9795184</v>
      </c>
    </row>
    <row r="4" spans="1:14" ht="15" customHeight="1" x14ac:dyDescent="0.25">
      <c r="A4" s="109" t="s">
        <v>179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>
        <f t="shared" si="1"/>
        <v>0</v>
      </c>
    </row>
    <row r="5" spans="1:14" ht="15" customHeight="1" x14ac:dyDescent="0.25">
      <c r="A5" s="110" t="s">
        <v>180</v>
      </c>
      <c r="B5" s="111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>
        <f t="shared" si="1"/>
        <v>0</v>
      </c>
    </row>
    <row r="6" spans="1:14" ht="15" customHeight="1" x14ac:dyDescent="0.25">
      <c r="A6" s="110" t="s">
        <v>181</v>
      </c>
      <c r="B6" s="111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>
        <f t="shared" si="1"/>
        <v>0</v>
      </c>
    </row>
    <row r="7" spans="1:14" ht="15" customHeight="1" x14ac:dyDescent="0.25">
      <c r="A7" s="110" t="s">
        <v>182</v>
      </c>
      <c r="B7" s="108">
        <f>'Proyección de ventas'!$F$29*'Costos variables de producción'!$E$20</f>
        <v>6978008.4973909287</v>
      </c>
      <c r="C7" s="108">
        <f>'Proyección de ventas'!$F$30*'Costos variables de producción'!$E$20</f>
        <v>6988475.510137016</v>
      </c>
      <c r="D7" s="108">
        <f>'Proyección de ventas'!$F$31*'Costos variables de producción'!$E$20</f>
        <v>6998958.2234022217</v>
      </c>
      <c r="E7" s="108">
        <f>'Proyección de ventas'!$F$32*'Costos variables de producción'!$E$20</f>
        <v>7009456.6607373245</v>
      </c>
      <c r="F7" s="108">
        <f>'Proyección de ventas'!$F$33*'Costos variables de producción'!$E$20</f>
        <v>7019970.8457284309</v>
      </c>
      <c r="G7" s="108">
        <f>'Proyección de ventas'!$F$34*'Costos variables de producción'!$E$20</f>
        <v>7030500.8019970246</v>
      </c>
      <c r="H7" s="108">
        <f>'Proyección de ventas'!$F$35*'Costos variables de producción'!$E$20</f>
        <v>7041046.5532000205</v>
      </c>
      <c r="I7" s="108">
        <f>'Proyección de ventas'!$F$36*'Costos variables de producción'!$E$20</f>
        <v>7051608.1230298206</v>
      </c>
      <c r="J7" s="108">
        <f>'Proyección de ventas'!$F$37*'Costos variables de producción'!$E$20</f>
        <v>7062185.5352143664</v>
      </c>
      <c r="K7" s="108">
        <f>'Proyección de ventas'!$F$38*'Costos variables de producción'!$E$20</f>
        <v>7072778.8135171887</v>
      </c>
      <c r="L7" s="108">
        <f>'Proyección de ventas'!$F$39*'Costos variables de producción'!$E$20</f>
        <v>7083387.9817374637</v>
      </c>
      <c r="M7" s="108">
        <f>'Proyección de ventas'!$F$40*'Costos variables de producción'!$E$20</f>
        <v>7094013.0637100711</v>
      </c>
      <c r="N7" s="108">
        <f t="shared" si="1"/>
        <v>84430390.609801888</v>
      </c>
    </row>
    <row r="8" spans="1:14" ht="15" customHeight="1" x14ac:dyDescent="0.25">
      <c r="A8" s="112" t="s">
        <v>183</v>
      </c>
      <c r="B8" s="108">
        <f>'Proyección de ventas'!$G$29*'Costos variables de producción'!$E$22</f>
        <v>49769889.699390359</v>
      </c>
      <c r="C8" s="108">
        <f>'Proyección de ventas'!$G$30*'Costos variables de producción'!$E$22</f>
        <v>49844544.533939451</v>
      </c>
      <c r="D8" s="108">
        <f>'Proyección de ventas'!$G$31*'Costos variables de producción'!$E$22</f>
        <v>49919311.350740358</v>
      </c>
      <c r="E8" s="108">
        <f>'Proyección de ventas'!$G$32*'Costos variables de producción'!$E$22</f>
        <v>49994190.317766473</v>
      </c>
      <c r="F8" s="108">
        <f>'Proyección de ventas'!$G$33*'Costos variables de producción'!$E$22</f>
        <v>50069181.603243127</v>
      </c>
      <c r="G8" s="108">
        <f>'Proyección de ventas'!$G$34*'Costos variables de producción'!$E$22</f>
        <v>50144285.375647999</v>
      </c>
      <c r="H8" s="108">
        <f>'Proyección de ventas'!$G$35*'Costos variables de producción'!$E$22</f>
        <v>50219501.803711466</v>
      </c>
      <c r="I8" s="108">
        <f>'Proyección de ventas'!$G$36*'Costos variables de producción'!$E$22</f>
        <v>50294831.056417033</v>
      </c>
      <c r="J8" s="108">
        <f>'Proyección de ventas'!$G$37*'Costos variables de producción'!$E$22</f>
        <v>50370273.303001665</v>
      </c>
      <c r="K8" s="108">
        <f>'Proyección de ventas'!$G$38*'Costos variables de producción'!$E$22</f>
        <v>50445828.712956168</v>
      </c>
      <c r="L8" s="108">
        <f>'Proyección de ventas'!$G$39*'Costos variables de producción'!$E$22</f>
        <v>50521497.456025608</v>
      </c>
      <c r="M8" s="108">
        <f>'Proyección de ventas'!$G$40*'Costos variables de producción'!$E$22</f>
        <v>50597279.702209651</v>
      </c>
      <c r="N8" s="108">
        <f t="shared" si="1"/>
        <v>602190614.91504931</v>
      </c>
    </row>
    <row r="9" spans="1:14" ht="15" customHeight="1" x14ac:dyDescent="0.25">
      <c r="A9" s="112" t="s">
        <v>184</v>
      </c>
      <c r="B9" s="108">
        <f>'Proyección de ventas'!$H$29*'Costos variables de producción'!$E$21</f>
        <v>16565447.588346664</v>
      </c>
      <c r="C9" s="108">
        <f>'Proyección de ventas'!$H$30*'Costos variables de producción'!$E$21</f>
        <v>16590295.759729184</v>
      </c>
      <c r="D9" s="108">
        <f>'Proyección de ventas'!$H$31*'Costos variables de producción'!$E$21</f>
        <v>16615181.203368781</v>
      </c>
      <c r="E9" s="108">
        <f>'Proyección de ventas'!$H$32*'Costos variables de producción'!$E$21</f>
        <v>16640103.975173835</v>
      </c>
      <c r="F9" s="108">
        <f>'Proyección de ventas'!$H$33*'Costos variables de producción'!$E$21</f>
        <v>16665064.131136596</v>
      </c>
      <c r="G9" s="108">
        <f>'Proyección de ventas'!$H$34*'Costos variables de producción'!$E$21</f>
        <v>16690061.727333302</v>
      </c>
      <c r="H9" s="108">
        <f>'Proyección de ventas'!$H$35*'Costos variables de producción'!$E$21</f>
        <v>16715096.819924302</v>
      </c>
      <c r="I9" s="108">
        <f>'Proyección de ventas'!$H$36*'Costos variables de producción'!$E$21</f>
        <v>16740169.46515419</v>
      </c>
      <c r="J9" s="108">
        <f>'Proyección de ventas'!$H$37*'Costos variables de producción'!$E$21</f>
        <v>16765279.719351921</v>
      </c>
      <c r="K9" s="108">
        <f>'Proyección de ventas'!$H$38*'Costos variables de producción'!$E$21</f>
        <v>16790427.63893095</v>
      </c>
      <c r="L9" s="108">
        <f>'Proyección de ventas'!$H$39*'Costos variables de producción'!$E$21</f>
        <v>16815613.28038935</v>
      </c>
      <c r="M9" s="108">
        <f>'Proyección de ventas'!$H$40*'Costos variables de producción'!$E$21</f>
        <v>16840836.700309932</v>
      </c>
      <c r="N9" s="108">
        <f t="shared" si="1"/>
        <v>200433578.00914901</v>
      </c>
    </row>
    <row r="10" spans="1:14" ht="15" customHeight="1" x14ac:dyDescent="0.25">
      <c r="A10" s="112" t="s">
        <v>185</v>
      </c>
      <c r="B10" s="108">
        <f>'Proyección de ventas'!$I$29*'Costos variables de producción'!$E$23</f>
        <v>51910277.491467513</v>
      </c>
      <c r="C10" s="108">
        <f>'Proyección de ventas'!$I$30*'Costos variables de producción'!$E$23</f>
        <v>51988142.907704711</v>
      </c>
      <c r="D10" s="108">
        <f>'Proyección de ventas'!$I$31*'Costos variables de producción'!$E$23</f>
        <v>52066125.122066274</v>
      </c>
      <c r="E10" s="108">
        <f>'Proyección de ventas'!$I$32*'Costos variables de producción'!$E$23</f>
        <v>52144224.309749372</v>
      </c>
      <c r="F10" s="108">
        <f>'Proyección de ventas'!$I$33*'Costos variables de producción'!$E$23</f>
        <v>52222440.646214008</v>
      </c>
      <c r="G10" s="108">
        <f>'Proyección de ventas'!$I$34*'Costos variables de producción'!$E$23</f>
        <v>52300774.307183325</v>
      </c>
      <c r="H10" s="108">
        <f>'Proyección de ventas'!$I$35*'Costos variables de producción'!$E$23</f>
        <v>52379225.468644105</v>
      </c>
      <c r="I10" s="108">
        <f>'Proyección de ventas'!$I$36*'Costos variables de producción'!$E$23</f>
        <v>52457794.306847073</v>
      </c>
      <c r="J10" s="108">
        <f>'Proyección de ventas'!$I$37*'Costos variables de producción'!$E$23</f>
        <v>52536480.998307355</v>
      </c>
      <c r="K10" s="108">
        <f>'Proyección de ventas'!$I$38*'Costos variables de producción'!$E$23</f>
        <v>52615285.719804816</v>
      </c>
      <c r="L10" s="108">
        <f>'Proyección de ventas'!$I$39*'Costos variables de producción'!$E$23</f>
        <v>52694208.648384526</v>
      </c>
      <c r="M10" s="108">
        <f>'Proyección de ventas'!$I$40*'Costos variables de producción'!$E$23</f>
        <v>52773249.961357117</v>
      </c>
      <c r="N10" s="108">
        <f t="shared" si="1"/>
        <v>628088229.88773024</v>
      </c>
    </row>
    <row r="11" spans="1:14" ht="15" customHeight="1" x14ac:dyDescent="0.25">
      <c r="A11" s="110" t="s">
        <v>186</v>
      </c>
      <c r="B11" s="108">
        <f>'Proyección de ventas'!$J$29*'Costos variables de producción'!$E$24</f>
        <v>97896515.665891737</v>
      </c>
      <c r="C11" s="108">
        <f>'Proyección de ventas'!$J$30*'Costos variables de producción'!$E$24</f>
        <v>98043360.439390585</v>
      </c>
      <c r="D11" s="108">
        <f>'Proyección de ventas'!$J$31*'Costos variables de producción'!$E$24</f>
        <v>98190425.48004967</v>
      </c>
      <c r="E11" s="108">
        <f>'Proyección de ventas'!$J$32*'Costos variables de producción'!$E$24</f>
        <v>98337711.118269742</v>
      </c>
      <c r="F11" s="108">
        <f>'Proyección de ventas'!$J$33*'Costos variables de producción'!$E$24</f>
        <v>98485217.684947148</v>
      </c>
      <c r="G11" s="108">
        <f>'Proyección de ventas'!$J$34*'Costos variables de producción'!$E$24</f>
        <v>98632945.51147458</v>
      </c>
      <c r="H11" s="108">
        <f>'Proyección de ventas'!$J$35*'Costos variables de producción'!$E$24</f>
        <v>98780894.9297418</v>
      </c>
      <c r="I11" s="108">
        <f>'Proyección de ventas'!$J$36*'Costos variables de producción'!$E$24</f>
        <v>98929066.27213642</v>
      </c>
      <c r="J11" s="108">
        <f>'Proyección de ventas'!$J$37*'Costos variables de producción'!$E$24</f>
        <v>99077459.871544629</v>
      </c>
      <c r="K11" s="108">
        <f>'Proyección de ventas'!$J$38*'Costos variables de producción'!$E$24</f>
        <v>99226076.061351955</v>
      </c>
      <c r="L11" s="108">
        <f>'Proyección de ventas'!$J$39*'Costos variables de producción'!$E$24</f>
        <v>99374915.175443977</v>
      </c>
      <c r="M11" s="108">
        <f>'Proyección de ventas'!$J$40*'Costos variables de producción'!$E$24</f>
        <v>99523977.548207149</v>
      </c>
      <c r="N11" s="108">
        <f t="shared" si="1"/>
        <v>1184498565.7584493</v>
      </c>
    </row>
    <row r="12" spans="1:14" ht="15" customHeight="1" x14ac:dyDescent="0.25">
      <c r="A12" s="105" t="s">
        <v>187</v>
      </c>
      <c r="B12" s="113">
        <f t="shared" ref="B12:M12" si="2">SUM(B3:B11)</f>
        <v>156229143.93541831</v>
      </c>
      <c r="C12" s="113">
        <f t="shared" si="2"/>
        <v>150339638.70257133</v>
      </c>
      <c r="D12" s="113">
        <f t="shared" si="2"/>
        <v>144462653.32880932</v>
      </c>
      <c r="E12" s="113">
        <f t="shared" si="2"/>
        <v>138598206.59392089</v>
      </c>
      <c r="F12" s="113">
        <f t="shared" si="2"/>
        <v>132746317.30586433</v>
      </c>
      <c r="G12" s="113">
        <f t="shared" si="2"/>
        <v>126907004.3008099</v>
      </c>
      <c r="H12" s="113">
        <f t="shared" si="2"/>
        <v>121080286.44318211</v>
      </c>
      <c r="I12" s="113">
        <f t="shared" si="2"/>
        <v>115266182.62570208</v>
      </c>
      <c r="J12" s="113">
        <f t="shared" si="2"/>
        <v>109464711.7694301</v>
      </c>
      <c r="K12" s="113">
        <f t="shared" si="2"/>
        <v>103675892.8238079</v>
      </c>
      <c r="L12" s="113">
        <f t="shared" si="2"/>
        <v>97899744.76670146</v>
      </c>
      <c r="M12" s="113">
        <f t="shared" si="2"/>
        <v>92136286.604443595</v>
      </c>
      <c r="N12" s="114">
        <f t="shared" si="1"/>
        <v>1488806069.2006614</v>
      </c>
    </row>
    <row r="13" spans="1:14" ht="15" customHeight="1" x14ac:dyDescent="0.25">
      <c r="A13" s="109" t="s">
        <v>188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</row>
    <row r="14" spans="1:14" ht="15" customHeight="1" x14ac:dyDescent="0.25">
      <c r="A14" s="115" t="s">
        <v>189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</row>
    <row r="15" spans="1:14" ht="15" customHeight="1" x14ac:dyDescent="0.25">
      <c r="A15" s="116" t="s">
        <v>190</v>
      </c>
      <c r="B15" s="108">
        <f>'Proyección de ventas'!$F$29*'Costos variables de producción'!$F$20</f>
        <v>3855253.3134756507</v>
      </c>
      <c r="C15" s="108">
        <f>'Proyección de ventas'!$F$30*'Costos variables de producción'!$F$20</f>
        <v>3861036.1934458646</v>
      </c>
      <c r="D15" s="108">
        <f>'Proyección de ventas'!$F$31*'Costos variables de producción'!$F$20</f>
        <v>3866827.7477360335</v>
      </c>
      <c r="E15" s="108">
        <f>'Proyección de ventas'!$F$32*'Costos variables de producción'!$F$20</f>
        <v>3872627.9893576377</v>
      </c>
      <c r="F15" s="108">
        <f>'Proyección de ventas'!$F$33*'Costos variables de producción'!$F$20</f>
        <v>3878436.9313416742</v>
      </c>
      <c r="G15" s="108">
        <f>'Proyección de ventas'!$F$34*'Costos variables de producción'!$F$20</f>
        <v>3884254.586738687</v>
      </c>
      <c r="H15" s="108">
        <f>'Proyección de ventas'!$F$35*'Costos variables de producción'!$F$20</f>
        <v>3890080.9686187953</v>
      </c>
      <c r="I15" s="108">
        <f>'Proyección de ventas'!$F$36*'Costos variables de producción'!$F$20</f>
        <v>3895916.0900717238</v>
      </c>
      <c r="J15" s="108">
        <f>'Proyección de ventas'!$F$37*'Costos variables de producción'!$F$20</f>
        <v>3901759.9642068315</v>
      </c>
      <c r="K15" s="108">
        <f>'Proyección de ventas'!$F$38*'Costos variables de producción'!$F$20</f>
        <v>3907612.6041531423</v>
      </c>
      <c r="L15" s="108">
        <f>'Proyección de ventas'!$F$39*'Costos variables de producción'!$F$20</f>
        <v>3913474.0230593719</v>
      </c>
      <c r="M15" s="108">
        <f>'Proyección de ventas'!$F$40*'Costos variables de producción'!$F$20</f>
        <v>3919344.2340939613</v>
      </c>
      <c r="N15" s="108">
        <f t="shared" ref="N15:N22" si="3">SUM(B15:M15)</f>
        <v>46646624.646299377</v>
      </c>
    </row>
    <row r="16" spans="1:14" ht="15" customHeight="1" x14ac:dyDescent="0.25">
      <c r="A16" s="116" t="s">
        <v>191</v>
      </c>
      <c r="B16" s="108">
        <f>'Proyección de ventas'!$G$29*'Costos variables de producción'!$F$22</f>
        <v>49750376.216080874</v>
      </c>
      <c r="C16" s="108">
        <f>'Proyección de ventas'!$G$30*'Costos variables de producción'!$F$22</f>
        <v>49825001.780405</v>
      </c>
      <c r="D16" s="108">
        <f>'Proyección de ventas'!$G$31*'Costos variables de producción'!$F$22</f>
        <v>49899739.283075608</v>
      </c>
      <c r="E16" s="108">
        <f>'Proyección de ventas'!$G$32*'Costos variables de producción'!$F$22</f>
        <v>49974588.892000228</v>
      </c>
      <c r="F16" s="108">
        <f>'Proyección de ventas'!$G$33*'Costos variables de producción'!$F$22</f>
        <v>50049550.775338225</v>
      </c>
      <c r="G16" s="108">
        <f>'Proyección de ventas'!$G$34*'Costos variables de producción'!$F$22</f>
        <v>50124625.101501241</v>
      </c>
      <c r="H16" s="108">
        <f>'Proyección de ventas'!$G$35*'Costos variables de producción'!$F$22</f>
        <v>50199812.039153494</v>
      </c>
      <c r="I16" s="108">
        <f>'Proyección de ventas'!$G$36*'Costos variables de producción'!$F$22</f>
        <v>50275111.757212222</v>
      </c>
      <c r="J16" s="108">
        <f>'Proyección de ventas'!$G$37*'Costos variables de producción'!$F$22</f>
        <v>50350524.424848042</v>
      </c>
      <c r="K16" s="108">
        <f>'Proyección de ventas'!$G$38*'Costos variables de producción'!$F$22</f>
        <v>50426050.211485319</v>
      </c>
      <c r="L16" s="108">
        <f>'Proyección de ventas'!$G$39*'Costos variables de producción'!$F$22</f>
        <v>50501689.286802553</v>
      </c>
      <c r="M16" s="108">
        <f>'Proyección de ventas'!$G$40*'Costos variables de producción'!$F$22</f>
        <v>50577441.820732757</v>
      </c>
      <c r="N16" s="108">
        <f t="shared" si="3"/>
        <v>601954511.58863556</v>
      </c>
    </row>
    <row r="17" spans="1:14" ht="15" customHeight="1" x14ac:dyDescent="0.25">
      <c r="A17" s="116" t="s">
        <v>192</v>
      </c>
      <c r="B17" s="108">
        <f>'Proyección de ventas'!$H$29*'Costos variables de producción'!$F$21</f>
        <v>16551963.910287956</v>
      </c>
      <c r="C17" s="108">
        <f>'Proyección de ventas'!$H$30*'Costos variables de producción'!$F$21</f>
        <v>16576791.856153388</v>
      </c>
      <c r="D17" s="108">
        <f>'Proyección de ventas'!$H$31*'Costos variables de producción'!$F$21</f>
        <v>16601657.04393762</v>
      </c>
      <c r="E17" s="108">
        <f>'Proyección de ventas'!$H$32*'Costos variables de producción'!$F$21</f>
        <v>16626559.529503528</v>
      </c>
      <c r="F17" s="108">
        <f>'Proyección de ventas'!$H$33*'Costos variables de producción'!$F$21</f>
        <v>16651499.368797785</v>
      </c>
      <c r="G17" s="108">
        <f>'Proyección de ventas'!$H$34*'Costos variables de producción'!$F$21</f>
        <v>16676476.617850982</v>
      </c>
      <c r="H17" s="108">
        <f>'Proyección de ventas'!$H$35*'Costos variables de producción'!$F$21</f>
        <v>16701491.332777759</v>
      </c>
      <c r="I17" s="108">
        <f>'Proyección de ventas'!$H$36*'Costos variables de producción'!$F$21</f>
        <v>16726543.569776926</v>
      </c>
      <c r="J17" s="108">
        <f>'Proyección de ventas'!$H$37*'Costos variables de producción'!$F$21</f>
        <v>16751633.385131592</v>
      </c>
      <c r="K17" s="108">
        <f>'Proyección de ventas'!$H$38*'Costos variables de producción'!$F$21</f>
        <v>16776760.83520929</v>
      </c>
      <c r="L17" s="108">
        <f>'Proyección de ventas'!$H$39*'Costos variables de producción'!$F$21</f>
        <v>16801925.976462107</v>
      </c>
      <c r="M17" s="108">
        <f>'Proyección de ventas'!$H$40*'Costos variables de producción'!$F$21</f>
        <v>16827128.865426797</v>
      </c>
      <c r="N17" s="108">
        <f t="shared" si="3"/>
        <v>200270432.2913157</v>
      </c>
    </row>
    <row r="18" spans="1:14" ht="15" customHeight="1" x14ac:dyDescent="0.25">
      <c r="A18" s="116" t="s">
        <v>193</v>
      </c>
      <c r="B18" s="108">
        <f>'Proyección de ventas'!$I$29*'Costos variables de producción'!$F$23</f>
        <v>51897750.88010373</v>
      </c>
      <c r="C18" s="108">
        <f>'Proyección de ventas'!$I$30*'Costos variables de producción'!$F$23</f>
        <v>51975597.506423891</v>
      </c>
      <c r="D18" s="108">
        <f>'Proyección de ventas'!$I$31*'Costos variables de producción'!$F$23</f>
        <v>52053560.902683526</v>
      </c>
      <c r="E18" s="108">
        <f>'Proyección de ventas'!$I$32*'Costos variables de producción'!$F$23</f>
        <v>52131641.244037554</v>
      </c>
      <c r="F18" s="108">
        <f>'Proyección de ventas'!$I$33*'Costos variables de producción'!$F$23</f>
        <v>52209838.70590362</v>
      </c>
      <c r="G18" s="108">
        <f>'Proyección de ventas'!$I$34*'Costos variables de producción'!$F$23</f>
        <v>52288153.463962473</v>
      </c>
      <c r="H18" s="108">
        <f>'Proyección de ventas'!$I$35*'Costos variables de producción'!$F$23</f>
        <v>52366585.69415842</v>
      </c>
      <c r="I18" s="108">
        <f>'Proyección de ventas'!$I$36*'Costos variables de producción'!$F$23</f>
        <v>52445135.572699659</v>
      </c>
      <c r="J18" s="108">
        <f>'Proyección de ventas'!$I$37*'Costos variables de producción'!$F$23</f>
        <v>52523803.276058719</v>
      </c>
      <c r="K18" s="108">
        <f>'Proyección de ventas'!$I$38*'Costos variables de producción'!$F$23</f>
        <v>52602588.980972812</v>
      </c>
      <c r="L18" s="108">
        <f>'Proyección de ventas'!$I$39*'Costos variables de producción'!$F$23</f>
        <v>52681492.864444278</v>
      </c>
      <c r="M18" s="108">
        <f>'Proyección de ventas'!$I$40*'Costos variables de producción'!$F$23</f>
        <v>52760515.103740945</v>
      </c>
      <c r="N18" s="108">
        <f t="shared" si="3"/>
        <v>627936664.19518971</v>
      </c>
    </row>
    <row r="19" spans="1:14" ht="15" customHeight="1" x14ac:dyDescent="0.25">
      <c r="A19" s="116" t="s">
        <v>194</v>
      </c>
      <c r="B19" s="108">
        <f>'Proyección de ventas'!$J$29*'Costos variables de producción'!$F$24</f>
        <v>93052902.107655868</v>
      </c>
      <c r="C19" s="108">
        <f>'Proyección de ventas'!$J$30*'Costos variables de producción'!$F$24</f>
        <v>93192481.460817352</v>
      </c>
      <c r="D19" s="108">
        <f>'Proyección de ventas'!$J$31*'Costos variables de producción'!$F$24</f>
        <v>93332270.183008581</v>
      </c>
      <c r="E19" s="108">
        <f>'Proyección de ventas'!$J$32*'Costos variables de producción'!$F$24</f>
        <v>93472268.588283092</v>
      </c>
      <c r="F19" s="108">
        <f>'Proyección de ventas'!$J$33*'Costos variables de producción'!$F$24</f>
        <v>93612476.991165534</v>
      </c>
      <c r="G19" s="108">
        <f>'Proyección de ventas'!$J$34*'Costos variables de producción'!$F$24</f>
        <v>93752895.706652269</v>
      </c>
      <c r="H19" s="108">
        <f>'Proyección de ventas'!$J$35*'Costos variables de producción'!$F$24</f>
        <v>93893525.050212264</v>
      </c>
      <c r="I19" s="108">
        <f>'Proyección de ventas'!$J$36*'Costos variables de producción'!$F$24</f>
        <v>94034365.337787583</v>
      </c>
      <c r="J19" s="108">
        <f>'Proyección de ventas'!$J$37*'Costos variables de producción'!$F$24</f>
        <v>94175416.885794267</v>
      </c>
      <c r="K19" s="108">
        <f>'Proyección de ventas'!$J$38*'Costos variables de producción'!$F$24</f>
        <v>94316680.011122972</v>
      </c>
      <c r="L19" s="108">
        <f>'Proyección de ventas'!$J$39*'Costos variables de producción'!$F$24</f>
        <v>94458155.031139657</v>
      </c>
      <c r="M19" s="108">
        <f>'Proyección de ventas'!$J$40*'Costos variables de producción'!$F$24</f>
        <v>94599842.263686359</v>
      </c>
      <c r="N19" s="108">
        <f t="shared" si="3"/>
        <v>1125893279.6173258</v>
      </c>
    </row>
    <row r="20" spans="1:14" ht="15" customHeight="1" x14ac:dyDescent="0.25">
      <c r="A20" s="115" t="s">
        <v>119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>
        <f t="shared" si="3"/>
        <v>0</v>
      </c>
    </row>
    <row r="21" spans="1:14" ht="15" customHeight="1" x14ac:dyDescent="0.25">
      <c r="A21" s="106" t="s">
        <v>121</v>
      </c>
      <c r="B21" s="111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>
        <f t="shared" si="3"/>
        <v>0</v>
      </c>
    </row>
    <row r="22" spans="1:14" ht="15" customHeight="1" x14ac:dyDescent="0.25">
      <c r="A22" s="106" t="s">
        <v>26</v>
      </c>
      <c r="B22" s="108"/>
      <c r="C22" s="108"/>
      <c r="D22" s="108"/>
      <c r="E22" s="108"/>
      <c r="F22" s="108"/>
      <c r="G22" s="108"/>
      <c r="H22" s="108"/>
      <c r="I22" s="111"/>
      <c r="J22" s="108"/>
      <c r="K22" s="108"/>
      <c r="L22" s="108"/>
      <c r="M22" s="108"/>
      <c r="N22" s="108">
        <f t="shared" si="3"/>
        <v>0</v>
      </c>
    </row>
    <row r="23" spans="1:14" ht="15" customHeight="1" x14ac:dyDescent="0.25">
      <c r="A23" s="106" t="s">
        <v>122</v>
      </c>
      <c r="B23" s="108">
        <f t="shared" ref="B23:M23" si="4">$N$23/12</f>
        <v>5953013</v>
      </c>
      <c r="C23" s="108">
        <f t="shared" si="4"/>
        <v>5953013</v>
      </c>
      <c r="D23" s="108">
        <f t="shared" si="4"/>
        <v>5953013</v>
      </c>
      <c r="E23" s="108">
        <f t="shared" si="4"/>
        <v>5953013</v>
      </c>
      <c r="F23" s="108">
        <f t="shared" si="4"/>
        <v>5953013</v>
      </c>
      <c r="G23" s="108">
        <f t="shared" si="4"/>
        <v>5953013</v>
      </c>
      <c r="H23" s="108">
        <f t="shared" si="4"/>
        <v>5953013</v>
      </c>
      <c r="I23" s="108">
        <f t="shared" si="4"/>
        <v>5953013</v>
      </c>
      <c r="J23" s="108">
        <f t="shared" si="4"/>
        <v>5953013</v>
      </c>
      <c r="K23" s="108">
        <f t="shared" si="4"/>
        <v>5953013</v>
      </c>
      <c r="L23" s="108">
        <f t="shared" si="4"/>
        <v>5953013</v>
      </c>
      <c r="M23" s="108">
        <f t="shared" si="4"/>
        <v>5953013</v>
      </c>
      <c r="N23" s="108">
        <f>'Proyección de gastos'!H8</f>
        <v>71436156</v>
      </c>
    </row>
    <row r="24" spans="1:14" ht="15" customHeight="1" x14ac:dyDescent="0.25">
      <c r="A24" s="118" t="s">
        <v>87</v>
      </c>
      <c r="B24" s="108">
        <f t="shared" ref="B24:M24" si="5">$N$24/12</f>
        <v>56977.38</v>
      </c>
      <c r="C24" s="108">
        <f t="shared" si="5"/>
        <v>56977.38</v>
      </c>
      <c r="D24" s="108">
        <f t="shared" si="5"/>
        <v>56977.38</v>
      </c>
      <c r="E24" s="108">
        <f t="shared" si="5"/>
        <v>56977.38</v>
      </c>
      <c r="F24" s="108">
        <f t="shared" si="5"/>
        <v>56977.38</v>
      </c>
      <c r="G24" s="108">
        <f t="shared" si="5"/>
        <v>56977.38</v>
      </c>
      <c r="H24" s="108">
        <f t="shared" si="5"/>
        <v>56977.38</v>
      </c>
      <c r="I24" s="108">
        <f t="shared" si="5"/>
        <v>56977.38</v>
      </c>
      <c r="J24" s="108">
        <f t="shared" si="5"/>
        <v>56977.38</v>
      </c>
      <c r="K24" s="108">
        <f t="shared" si="5"/>
        <v>56977.38</v>
      </c>
      <c r="L24" s="108">
        <f t="shared" si="5"/>
        <v>56977.38</v>
      </c>
      <c r="M24" s="108">
        <f t="shared" si="5"/>
        <v>56977.38</v>
      </c>
      <c r="N24" s="108">
        <f>'Proyección de gastos'!H9</f>
        <v>683728.55999999994</v>
      </c>
    </row>
    <row r="25" spans="1:14" ht="15" customHeight="1" x14ac:dyDescent="0.25">
      <c r="A25" s="106" t="s">
        <v>123</v>
      </c>
      <c r="B25" s="108">
        <f t="shared" ref="B25:M25" si="6">$N$25/12</f>
        <v>1327429.9999999998</v>
      </c>
      <c r="C25" s="108">
        <f t="shared" si="6"/>
        <v>1327429.9999999998</v>
      </c>
      <c r="D25" s="108">
        <f t="shared" si="6"/>
        <v>1327429.9999999998</v>
      </c>
      <c r="E25" s="108">
        <f t="shared" si="6"/>
        <v>1327429.9999999998</v>
      </c>
      <c r="F25" s="108">
        <f t="shared" si="6"/>
        <v>1327429.9999999998</v>
      </c>
      <c r="G25" s="108">
        <f t="shared" si="6"/>
        <v>1327429.9999999998</v>
      </c>
      <c r="H25" s="108">
        <f t="shared" si="6"/>
        <v>1327429.9999999998</v>
      </c>
      <c r="I25" s="108">
        <f t="shared" si="6"/>
        <v>1327429.9999999998</v>
      </c>
      <c r="J25" s="108">
        <f t="shared" si="6"/>
        <v>1327429.9999999998</v>
      </c>
      <c r="K25" s="108">
        <f t="shared" si="6"/>
        <v>1327429.9999999998</v>
      </c>
      <c r="L25" s="108">
        <f t="shared" si="6"/>
        <v>1327429.9999999998</v>
      </c>
      <c r="M25" s="108">
        <f t="shared" si="6"/>
        <v>1327429.9999999998</v>
      </c>
      <c r="N25" s="108">
        <f>'Proyección de gastos'!H10</f>
        <v>15929159.999999998</v>
      </c>
    </row>
    <row r="26" spans="1:14" ht="15" customHeight="1" x14ac:dyDescent="0.25">
      <c r="A26" s="106" t="s">
        <v>124</v>
      </c>
      <c r="B26" s="108">
        <f t="shared" ref="B26:M26" si="7">$N$26/12</f>
        <v>408439.99999999994</v>
      </c>
      <c r="C26" s="108">
        <f t="shared" si="7"/>
        <v>408439.99999999994</v>
      </c>
      <c r="D26" s="108">
        <f t="shared" si="7"/>
        <v>408439.99999999994</v>
      </c>
      <c r="E26" s="108">
        <f t="shared" si="7"/>
        <v>408439.99999999994</v>
      </c>
      <c r="F26" s="108">
        <f t="shared" si="7"/>
        <v>408439.99999999994</v>
      </c>
      <c r="G26" s="108">
        <f t="shared" si="7"/>
        <v>408439.99999999994</v>
      </c>
      <c r="H26" s="108">
        <f t="shared" si="7"/>
        <v>408439.99999999994</v>
      </c>
      <c r="I26" s="108">
        <f t="shared" si="7"/>
        <v>408439.99999999994</v>
      </c>
      <c r="J26" s="108">
        <f t="shared" si="7"/>
        <v>408439.99999999994</v>
      </c>
      <c r="K26" s="108">
        <f t="shared" si="7"/>
        <v>408439.99999999994</v>
      </c>
      <c r="L26" s="108">
        <f t="shared" si="7"/>
        <v>408439.99999999994</v>
      </c>
      <c r="M26" s="108">
        <f t="shared" si="7"/>
        <v>408439.99999999994</v>
      </c>
      <c r="N26" s="108">
        <f>'Proyección de gastos'!H11</f>
        <v>4901279.9999999991</v>
      </c>
    </row>
    <row r="27" spans="1:14" ht="15" customHeight="1" x14ac:dyDescent="0.25">
      <c r="A27" s="106" t="s">
        <v>125</v>
      </c>
      <c r="B27" s="108">
        <f t="shared" ref="B27:M27" si="8">$N$27/12</f>
        <v>714770</v>
      </c>
      <c r="C27" s="108">
        <f t="shared" si="8"/>
        <v>714770</v>
      </c>
      <c r="D27" s="108">
        <f t="shared" si="8"/>
        <v>714770</v>
      </c>
      <c r="E27" s="108">
        <f t="shared" si="8"/>
        <v>714770</v>
      </c>
      <c r="F27" s="108">
        <f t="shared" si="8"/>
        <v>714770</v>
      </c>
      <c r="G27" s="108">
        <f t="shared" si="8"/>
        <v>714770</v>
      </c>
      <c r="H27" s="108">
        <f t="shared" si="8"/>
        <v>714770</v>
      </c>
      <c r="I27" s="108">
        <f t="shared" si="8"/>
        <v>714770</v>
      </c>
      <c r="J27" s="108">
        <f t="shared" si="8"/>
        <v>714770</v>
      </c>
      <c r="K27" s="108">
        <f t="shared" si="8"/>
        <v>714770</v>
      </c>
      <c r="L27" s="108">
        <f t="shared" si="8"/>
        <v>714770</v>
      </c>
      <c r="M27" s="108">
        <f t="shared" si="8"/>
        <v>714770</v>
      </c>
      <c r="N27" s="108">
        <f>'Proyección de gastos'!H12</f>
        <v>8577240</v>
      </c>
    </row>
    <row r="28" spans="1:14" ht="15.75" x14ac:dyDescent="0.25">
      <c r="A28" s="106" t="s">
        <v>102</v>
      </c>
      <c r="B28" s="108">
        <f t="shared" ref="B28:M28" si="9">$N$28/12</f>
        <v>690510.73399434204</v>
      </c>
      <c r="C28" s="108">
        <f t="shared" si="9"/>
        <v>690510.73399434204</v>
      </c>
      <c r="D28" s="108">
        <f t="shared" si="9"/>
        <v>690510.73399434204</v>
      </c>
      <c r="E28" s="108">
        <f t="shared" si="9"/>
        <v>690510.73399434204</v>
      </c>
      <c r="F28" s="108">
        <f t="shared" si="9"/>
        <v>690510.73399434204</v>
      </c>
      <c r="G28" s="108">
        <f t="shared" si="9"/>
        <v>690510.73399434204</v>
      </c>
      <c r="H28" s="108">
        <f t="shared" si="9"/>
        <v>690510.73399434204</v>
      </c>
      <c r="I28" s="108">
        <f t="shared" si="9"/>
        <v>690510.73399434204</v>
      </c>
      <c r="J28" s="108">
        <f t="shared" si="9"/>
        <v>690510.73399434204</v>
      </c>
      <c r="K28" s="108">
        <f t="shared" si="9"/>
        <v>690510.73399434204</v>
      </c>
      <c r="L28" s="108">
        <f t="shared" si="9"/>
        <v>690510.73399434204</v>
      </c>
      <c r="M28" s="108">
        <f t="shared" si="9"/>
        <v>690510.73399434204</v>
      </c>
      <c r="N28" s="108">
        <f>'Proyección de gastos'!H13</f>
        <v>8286128.807932104</v>
      </c>
    </row>
    <row r="29" spans="1:14" ht="15.75" x14ac:dyDescent="0.25">
      <c r="A29" s="106" t="s">
        <v>126</v>
      </c>
      <c r="B29" s="108">
        <f t="shared" ref="B29:M29" si="10">$N$29/12</f>
        <v>894891.44095466658</v>
      </c>
      <c r="C29" s="108">
        <f t="shared" si="10"/>
        <v>894891.44095466658</v>
      </c>
      <c r="D29" s="108">
        <f t="shared" si="10"/>
        <v>894891.44095466658</v>
      </c>
      <c r="E29" s="108">
        <f t="shared" si="10"/>
        <v>894891.44095466658</v>
      </c>
      <c r="F29" s="108">
        <f t="shared" si="10"/>
        <v>894891.44095466658</v>
      </c>
      <c r="G29" s="108">
        <f t="shared" si="10"/>
        <v>894891.44095466658</v>
      </c>
      <c r="H29" s="108">
        <f t="shared" si="10"/>
        <v>894891.44095466658</v>
      </c>
      <c r="I29" s="108">
        <f t="shared" si="10"/>
        <v>894891.44095466658</v>
      </c>
      <c r="J29" s="108">
        <f t="shared" si="10"/>
        <v>894891.44095466658</v>
      </c>
      <c r="K29" s="108">
        <f t="shared" si="10"/>
        <v>894891.44095466658</v>
      </c>
      <c r="L29" s="108">
        <f t="shared" si="10"/>
        <v>894891.44095466658</v>
      </c>
      <c r="M29" s="108">
        <f t="shared" si="10"/>
        <v>894891.44095466658</v>
      </c>
      <c r="N29" s="108">
        <f>'Proyección de gastos'!H14</f>
        <v>10738697.291455999</v>
      </c>
    </row>
    <row r="30" spans="1:14" ht="15.75" x14ac:dyDescent="0.25">
      <c r="A30" s="106" t="s">
        <v>127</v>
      </c>
      <c r="B30" s="108">
        <f t="shared" ref="B30:M30" si="11">$N$30/12</f>
        <v>255959.78236923667</v>
      </c>
      <c r="C30" s="108">
        <f t="shared" si="11"/>
        <v>255959.78236923667</v>
      </c>
      <c r="D30" s="108">
        <f t="shared" si="11"/>
        <v>255959.78236923667</v>
      </c>
      <c r="E30" s="108">
        <f t="shared" si="11"/>
        <v>255959.78236923667</v>
      </c>
      <c r="F30" s="108">
        <f t="shared" si="11"/>
        <v>255959.78236923667</v>
      </c>
      <c r="G30" s="108">
        <f t="shared" si="11"/>
        <v>255959.78236923667</v>
      </c>
      <c r="H30" s="108">
        <f t="shared" si="11"/>
        <v>255959.78236923667</v>
      </c>
      <c r="I30" s="108">
        <f t="shared" si="11"/>
        <v>255959.78236923667</v>
      </c>
      <c r="J30" s="108">
        <f t="shared" si="11"/>
        <v>255959.78236923667</v>
      </c>
      <c r="K30" s="108">
        <f t="shared" si="11"/>
        <v>255959.78236923667</v>
      </c>
      <c r="L30" s="108">
        <f t="shared" si="11"/>
        <v>255959.78236923667</v>
      </c>
      <c r="M30" s="108">
        <f t="shared" si="11"/>
        <v>255959.78236923667</v>
      </c>
      <c r="N30" s="108">
        <f>'Proyección de gastos'!H15</f>
        <v>3071517.3884308399</v>
      </c>
    </row>
    <row r="31" spans="1:14" ht="15.75" x14ac:dyDescent="0.25">
      <c r="A31" s="106" t="s">
        <v>128</v>
      </c>
      <c r="B31" s="108">
        <f t="shared" ref="B31:M31" si="12">$N$31/12</f>
        <v>122531.99999999999</v>
      </c>
      <c r="C31" s="108">
        <f t="shared" si="12"/>
        <v>122531.99999999999</v>
      </c>
      <c r="D31" s="108">
        <f t="shared" si="12"/>
        <v>122531.99999999999</v>
      </c>
      <c r="E31" s="108">
        <f t="shared" si="12"/>
        <v>122531.99999999999</v>
      </c>
      <c r="F31" s="108">
        <f t="shared" si="12"/>
        <v>122531.99999999999</v>
      </c>
      <c r="G31" s="108">
        <f t="shared" si="12"/>
        <v>122531.99999999999</v>
      </c>
      <c r="H31" s="108">
        <f t="shared" si="12"/>
        <v>122531.99999999999</v>
      </c>
      <c r="I31" s="108">
        <f t="shared" si="12"/>
        <v>122531.99999999999</v>
      </c>
      <c r="J31" s="108">
        <f t="shared" si="12"/>
        <v>122531.99999999999</v>
      </c>
      <c r="K31" s="108">
        <f t="shared" si="12"/>
        <v>122531.99999999999</v>
      </c>
      <c r="L31" s="108">
        <f t="shared" si="12"/>
        <v>122531.99999999999</v>
      </c>
      <c r="M31" s="108">
        <f t="shared" si="12"/>
        <v>122531.99999999999</v>
      </c>
      <c r="N31" s="108">
        <f>'Proyección de gastos'!H16</f>
        <v>1470383.9999999998</v>
      </c>
    </row>
    <row r="32" spans="1:14" ht="15.75" x14ac:dyDescent="0.25">
      <c r="A32" s="106" t="s">
        <v>129</v>
      </c>
      <c r="B32" s="108">
        <f t="shared" ref="B32:M32" si="13">$N$32/12</f>
        <v>142953.99999999997</v>
      </c>
      <c r="C32" s="108">
        <f t="shared" si="13"/>
        <v>142953.99999999997</v>
      </c>
      <c r="D32" s="108">
        <f t="shared" si="13"/>
        <v>142953.99999999997</v>
      </c>
      <c r="E32" s="108">
        <f t="shared" si="13"/>
        <v>142953.99999999997</v>
      </c>
      <c r="F32" s="108">
        <f t="shared" si="13"/>
        <v>142953.99999999997</v>
      </c>
      <c r="G32" s="108">
        <f t="shared" si="13"/>
        <v>142953.99999999997</v>
      </c>
      <c r="H32" s="108">
        <f t="shared" si="13"/>
        <v>142953.99999999997</v>
      </c>
      <c r="I32" s="108">
        <f t="shared" si="13"/>
        <v>142953.99999999997</v>
      </c>
      <c r="J32" s="108">
        <f t="shared" si="13"/>
        <v>142953.99999999997</v>
      </c>
      <c r="K32" s="108">
        <f t="shared" si="13"/>
        <v>142953.99999999997</v>
      </c>
      <c r="L32" s="108">
        <f t="shared" si="13"/>
        <v>142953.99999999997</v>
      </c>
      <c r="M32" s="108">
        <f t="shared" si="13"/>
        <v>142953.99999999997</v>
      </c>
      <c r="N32" s="108">
        <f>'Proyección de gastos'!H17</f>
        <v>1715447.9999999998</v>
      </c>
    </row>
    <row r="33" spans="1:14" ht="15.75" x14ac:dyDescent="0.25">
      <c r="A33" s="106" t="s">
        <v>74</v>
      </c>
      <c r="B33" s="108">
        <f t="shared" ref="B33:M33" si="14">$N$33/12</f>
        <v>2141246.6999999997</v>
      </c>
      <c r="C33" s="108">
        <f t="shared" si="14"/>
        <v>2141246.6999999997</v>
      </c>
      <c r="D33" s="108">
        <f t="shared" si="14"/>
        <v>2141246.6999999997</v>
      </c>
      <c r="E33" s="108">
        <f t="shared" si="14"/>
        <v>2141246.6999999997</v>
      </c>
      <c r="F33" s="108">
        <f t="shared" si="14"/>
        <v>2141246.6999999997</v>
      </c>
      <c r="G33" s="108">
        <f t="shared" si="14"/>
        <v>2141246.6999999997</v>
      </c>
      <c r="H33" s="108">
        <f t="shared" si="14"/>
        <v>2141246.6999999997</v>
      </c>
      <c r="I33" s="108">
        <f t="shared" si="14"/>
        <v>2141246.6999999997</v>
      </c>
      <c r="J33" s="108">
        <f t="shared" si="14"/>
        <v>2141246.6999999997</v>
      </c>
      <c r="K33" s="108">
        <f t="shared" si="14"/>
        <v>2141246.6999999997</v>
      </c>
      <c r="L33" s="108">
        <f t="shared" si="14"/>
        <v>2141246.6999999997</v>
      </c>
      <c r="M33" s="108">
        <f t="shared" si="14"/>
        <v>2141246.6999999997</v>
      </c>
      <c r="N33" s="108">
        <f>'Proyección de gastos'!H18</f>
        <v>25694960.399999999</v>
      </c>
    </row>
    <row r="34" spans="1:14" ht="15.75" x14ac:dyDescent="0.25">
      <c r="A34" s="106" t="s">
        <v>130</v>
      </c>
      <c r="B34" s="108">
        <f t="shared" ref="B34:M34" si="15">$N$34/12</f>
        <v>13614.666666666664</v>
      </c>
      <c r="C34" s="108">
        <f t="shared" si="15"/>
        <v>13614.666666666664</v>
      </c>
      <c r="D34" s="108">
        <f t="shared" si="15"/>
        <v>13614.666666666664</v>
      </c>
      <c r="E34" s="108">
        <f t="shared" si="15"/>
        <v>13614.666666666664</v>
      </c>
      <c r="F34" s="108">
        <f t="shared" si="15"/>
        <v>13614.666666666664</v>
      </c>
      <c r="G34" s="108">
        <f t="shared" si="15"/>
        <v>13614.666666666664</v>
      </c>
      <c r="H34" s="108">
        <f t="shared" si="15"/>
        <v>13614.666666666664</v>
      </c>
      <c r="I34" s="108">
        <f t="shared" si="15"/>
        <v>13614.666666666664</v>
      </c>
      <c r="J34" s="108">
        <f t="shared" si="15"/>
        <v>13614.666666666664</v>
      </c>
      <c r="K34" s="108">
        <f t="shared" si="15"/>
        <v>13614.666666666664</v>
      </c>
      <c r="L34" s="108">
        <f t="shared" si="15"/>
        <v>13614.666666666664</v>
      </c>
      <c r="M34" s="108">
        <f t="shared" si="15"/>
        <v>13614.666666666664</v>
      </c>
      <c r="N34" s="108">
        <f>'Proyección de gastos'!H19</f>
        <v>163375.99999999997</v>
      </c>
    </row>
    <row r="35" spans="1:14" ht="15.75" x14ac:dyDescent="0.25">
      <c r="A35" s="118" t="s">
        <v>131</v>
      </c>
      <c r="B35" s="108">
        <f t="shared" ref="B35:M35" si="16">$N$35/12</f>
        <v>510549.99999999994</v>
      </c>
      <c r="C35" s="108">
        <f t="shared" si="16"/>
        <v>510549.99999999994</v>
      </c>
      <c r="D35" s="108">
        <f t="shared" si="16"/>
        <v>510549.99999999994</v>
      </c>
      <c r="E35" s="108">
        <f t="shared" si="16"/>
        <v>510549.99999999994</v>
      </c>
      <c r="F35" s="108">
        <f t="shared" si="16"/>
        <v>510549.99999999994</v>
      </c>
      <c r="G35" s="108">
        <f t="shared" si="16"/>
        <v>510549.99999999994</v>
      </c>
      <c r="H35" s="108">
        <f t="shared" si="16"/>
        <v>510549.99999999994</v>
      </c>
      <c r="I35" s="108">
        <f t="shared" si="16"/>
        <v>510549.99999999994</v>
      </c>
      <c r="J35" s="108">
        <f t="shared" si="16"/>
        <v>510549.99999999994</v>
      </c>
      <c r="K35" s="108">
        <f t="shared" si="16"/>
        <v>510549.99999999994</v>
      </c>
      <c r="L35" s="108">
        <f t="shared" si="16"/>
        <v>510549.99999999994</v>
      </c>
      <c r="M35" s="108">
        <f t="shared" si="16"/>
        <v>510549.99999999994</v>
      </c>
      <c r="N35" s="108">
        <f>'Proyección de gastos'!H20</f>
        <v>6126599.9999999991</v>
      </c>
    </row>
    <row r="36" spans="1:14" ht="15.75" x14ac:dyDescent="0.25">
      <c r="A36" s="106" t="s">
        <v>132</v>
      </c>
      <c r="B36" s="108">
        <f t="shared" ref="B36:M36" si="17">$N$36/12</f>
        <v>408439.99999999994</v>
      </c>
      <c r="C36" s="108">
        <f t="shared" si="17"/>
        <v>408439.99999999994</v>
      </c>
      <c r="D36" s="108">
        <f t="shared" si="17"/>
        <v>408439.99999999994</v>
      </c>
      <c r="E36" s="108">
        <f t="shared" si="17"/>
        <v>408439.99999999994</v>
      </c>
      <c r="F36" s="108">
        <f t="shared" si="17"/>
        <v>408439.99999999994</v>
      </c>
      <c r="G36" s="108">
        <f t="shared" si="17"/>
        <v>408439.99999999994</v>
      </c>
      <c r="H36" s="108">
        <f t="shared" si="17"/>
        <v>408439.99999999994</v>
      </c>
      <c r="I36" s="108">
        <f t="shared" si="17"/>
        <v>408439.99999999994</v>
      </c>
      <c r="J36" s="108">
        <f t="shared" si="17"/>
        <v>408439.99999999994</v>
      </c>
      <c r="K36" s="108">
        <f t="shared" si="17"/>
        <v>408439.99999999994</v>
      </c>
      <c r="L36" s="108">
        <f t="shared" si="17"/>
        <v>408439.99999999994</v>
      </c>
      <c r="M36" s="108">
        <f t="shared" si="17"/>
        <v>408439.99999999994</v>
      </c>
      <c r="N36" s="108">
        <f>'Proyección de gastos'!H21</f>
        <v>4901279.9999999991</v>
      </c>
    </row>
    <row r="37" spans="1:14" ht="15.75" x14ac:dyDescent="0.25">
      <c r="A37" s="115" t="s">
        <v>195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</row>
    <row r="38" spans="1:14" ht="15.75" x14ac:dyDescent="0.25">
      <c r="A38" s="106" t="s">
        <v>196</v>
      </c>
      <c r="B38" s="108">
        <f>'Amortizaciones '!$D$26</f>
        <v>214460.77313496763</v>
      </c>
      <c r="C38" s="108">
        <f>'Amortizaciones '!$D$27</f>
        <v>209707.17964716762</v>
      </c>
      <c r="D38" s="108">
        <f>'Amortizaciones '!$D$28</f>
        <v>204894.16624077011</v>
      </c>
      <c r="E38" s="108">
        <f>'Amortizaciones '!$D$29</f>
        <v>200020.99016679262</v>
      </c>
      <c r="F38" s="108">
        <f>'Amortizaciones '!$D$30</f>
        <v>195086.89939189045</v>
      </c>
      <c r="G38" s="108">
        <f>'Amortizaciones '!$D$31</f>
        <v>190091.13248230197</v>
      </c>
      <c r="H38" s="108">
        <f>'Amortizaciones '!$D$32</f>
        <v>185032.91848634364</v>
      </c>
      <c r="I38" s="108">
        <f>'Amortizaciones '!$D$33</f>
        <v>179911.47681543583</v>
      </c>
      <c r="J38" s="108">
        <f>'Amortizaciones '!$D$34</f>
        <v>174726.01712364168</v>
      </c>
      <c r="K38" s="108">
        <f>'Amortizaciones '!$D$35</f>
        <v>169475.73918570011</v>
      </c>
      <c r="L38" s="108">
        <f>'Amortizaciones '!$D$36</f>
        <v>164159.83277353426</v>
      </c>
      <c r="M38" s="108">
        <f>'Amortizaciones '!$D$37</f>
        <v>158777.47753121634</v>
      </c>
      <c r="N38" s="108">
        <f t="shared" ref="N38:N40" si="18">SUM(B38:M38)</f>
        <v>2246344.6029797625</v>
      </c>
    </row>
    <row r="39" spans="1:14" ht="15.75" x14ac:dyDescent="0.25">
      <c r="A39" s="106" t="s">
        <v>197</v>
      </c>
      <c r="B39" s="108">
        <f>'Amortizaciones '!$E$26</f>
        <v>380287.47902400058</v>
      </c>
      <c r="C39" s="108">
        <f>'Amortizaciones '!$E$27</f>
        <v>385041.07251180062</v>
      </c>
      <c r="D39" s="108">
        <f>'Amortizaciones '!$E$28</f>
        <v>389854.08591819811</v>
      </c>
      <c r="E39" s="108">
        <f>'Amortizaciones '!$E$29</f>
        <v>394727.2619921756</v>
      </c>
      <c r="F39" s="108">
        <f>'Amortizaciones '!$E$30</f>
        <v>399661.3527670778</v>
      </c>
      <c r="G39" s="108">
        <f>'Amortizaciones '!$E$31</f>
        <v>404657.11967666628</v>
      </c>
      <c r="H39" s="108">
        <f>'Amortizaciones '!$E$32</f>
        <v>409715.33367262461</v>
      </c>
      <c r="I39" s="108">
        <f>'Amortizaciones '!$E$33</f>
        <v>414836.77534353244</v>
      </c>
      <c r="J39" s="108">
        <f>'Amortizaciones '!$E$34</f>
        <v>420022.23503532656</v>
      </c>
      <c r="K39" s="108">
        <f>'Amortizaciones '!$E$35</f>
        <v>425272.51297326817</v>
      </c>
      <c r="L39" s="108">
        <f>'Amortizaciones '!$E$36</f>
        <v>430588.41938543401</v>
      </c>
      <c r="M39" s="108">
        <f>'Amortizaciones '!$E$37</f>
        <v>435970.7746277519</v>
      </c>
      <c r="N39" s="108">
        <f t="shared" si="18"/>
        <v>4890634.4229278555</v>
      </c>
    </row>
    <row r="40" spans="1:14" ht="15.75" x14ac:dyDescent="0.25">
      <c r="A40" s="106" t="s">
        <v>198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>
        <f t="shared" si="18"/>
        <v>0</v>
      </c>
    </row>
    <row r="41" spans="1:14" ht="15.75" x14ac:dyDescent="0.25">
      <c r="A41" s="106" t="s">
        <v>202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</row>
    <row r="42" spans="1:14" ht="15.75" x14ac:dyDescent="0.25">
      <c r="A42" s="120" t="s">
        <v>199</v>
      </c>
      <c r="B42" s="121">
        <f t="shared" ref="B42:M42" si="19">SUM(B13:B40)</f>
        <v>229344324.38374791</v>
      </c>
      <c r="C42" s="121">
        <f t="shared" si="19"/>
        <v>229666986.75338933</v>
      </c>
      <c r="D42" s="121">
        <f t="shared" si="19"/>
        <v>229990133.1165852</v>
      </c>
      <c r="E42" s="121">
        <f t="shared" si="19"/>
        <v>230313764.19932586</v>
      </c>
      <c r="F42" s="121">
        <f t="shared" si="19"/>
        <v>230637880.72869065</v>
      </c>
      <c r="G42" s="121">
        <f t="shared" si="19"/>
        <v>230962483.4328495</v>
      </c>
      <c r="H42" s="121">
        <f t="shared" si="19"/>
        <v>231287573.04106456</v>
      </c>
      <c r="I42" s="121">
        <f t="shared" si="19"/>
        <v>231613150.28369191</v>
      </c>
      <c r="J42" s="121">
        <f t="shared" si="19"/>
        <v>231939215.89218327</v>
      </c>
      <c r="K42" s="121">
        <f t="shared" si="19"/>
        <v>232265770.59908736</v>
      </c>
      <c r="L42" s="121">
        <f t="shared" si="19"/>
        <v>232592815.13805178</v>
      </c>
      <c r="M42" s="121">
        <f t="shared" si="19"/>
        <v>232920350.24382463</v>
      </c>
      <c r="N42" s="114">
        <f t="shared" ref="N42:N43" si="20">SUM(B42:M42)</f>
        <v>2773534447.8124919</v>
      </c>
    </row>
    <row r="43" spans="1:14" ht="15.75" x14ac:dyDescent="0.25">
      <c r="A43" s="120" t="s">
        <v>200</v>
      </c>
      <c r="B43" s="121">
        <f t="shared" ref="B43:M43" si="21">B12-B42</f>
        <v>-73115180.448329598</v>
      </c>
      <c r="C43" s="121">
        <f t="shared" si="21"/>
        <v>-79327348.050817996</v>
      </c>
      <c r="D43" s="121">
        <f t="shared" si="21"/>
        <v>-85527479.787775874</v>
      </c>
      <c r="E43" s="121">
        <f t="shared" si="21"/>
        <v>-91715557.605404973</v>
      </c>
      <c r="F43" s="121">
        <f t="shared" si="21"/>
        <v>-97891563.42282632</v>
      </c>
      <c r="G43" s="121">
        <f t="shared" si="21"/>
        <v>-104055479.13203959</v>
      </c>
      <c r="H43" s="121">
        <f t="shared" si="21"/>
        <v>-110207286.59788245</v>
      </c>
      <c r="I43" s="121">
        <f t="shared" si="21"/>
        <v>-116346967.65798983</v>
      </c>
      <c r="J43" s="121">
        <f t="shared" si="21"/>
        <v>-122474504.12275317</v>
      </c>
      <c r="K43" s="121">
        <f t="shared" si="21"/>
        <v>-128589877.77527946</v>
      </c>
      <c r="L43" s="121">
        <f t="shared" si="21"/>
        <v>-134693070.37135032</v>
      </c>
      <c r="M43" s="121">
        <f t="shared" si="21"/>
        <v>-140784063.63938105</v>
      </c>
      <c r="N43" s="114">
        <f t="shared" si="20"/>
        <v>-1284728378.6118307</v>
      </c>
    </row>
  </sheetData>
  <mergeCells count="1">
    <mergeCell ref="A1:N1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outlinePr summaryBelow="0" summaryRight="0"/>
  </sheetPr>
  <dimension ref="A1:H11"/>
  <sheetViews>
    <sheetView workbookViewId="0">
      <selection activeCell="B11" sqref="B11"/>
    </sheetView>
  </sheetViews>
  <sheetFormatPr baseColWidth="10" defaultColWidth="11.21875" defaultRowHeight="15" customHeight="1" x14ac:dyDescent="0.2"/>
  <cols>
    <col min="1" max="1" width="26" customWidth="1"/>
    <col min="2" max="2" width="16.77734375" customWidth="1"/>
    <col min="3" max="3" width="8" customWidth="1"/>
    <col min="4" max="4" width="24.109375" customWidth="1"/>
    <col min="5" max="5" width="17.77734375" customWidth="1"/>
    <col min="6" max="6" width="8.6640625" customWidth="1"/>
    <col min="7" max="7" width="22" customWidth="1"/>
    <col min="8" max="8" width="20.6640625" customWidth="1"/>
  </cols>
  <sheetData>
    <row r="1" spans="1:8" ht="15" customHeight="1" x14ac:dyDescent="0.25">
      <c r="A1" s="193" t="s">
        <v>204</v>
      </c>
      <c r="B1" s="192"/>
      <c r="D1" s="193" t="s">
        <v>205</v>
      </c>
      <c r="E1" s="192"/>
      <c r="G1" s="193" t="s">
        <v>206</v>
      </c>
      <c r="H1" s="192"/>
    </row>
    <row r="2" spans="1:8" x14ac:dyDescent="0.2">
      <c r="A2" s="9" t="s">
        <v>207</v>
      </c>
      <c r="B2" s="123">
        <f>SUM('Flujo de efectivo año 1 '!N7:N11)</f>
        <v>2604253095.9619689</v>
      </c>
      <c r="D2" s="9" t="s">
        <v>207</v>
      </c>
      <c r="E2" s="123">
        <f>SUM('Flujo de efectivo año 2'!N7:N11)</f>
        <v>2651518323.4737453</v>
      </c>
      <c r="G2" s="9" t="s">
        <v>207</v>
      </c>
      <c r="H2" s="123">
        <f>SUM('Flujo de efectivo año 3'!N7:N11)</f>
        <v>2699641379.1801796</v>
      </c>
    </row>
    <row r="3" spans="1:8" x14ac:dyDescent="0.2">
      <c r="A3" s="9" t="s">
        <v>208</v>
      </c>
      <c r="B3" s="124">
        <f>SUM('Flujo de efectivo año 1 '!N15:N19)</f>
        <v>2510909170.3787689</v>
      </c>
      <c r="D3" s="9" t="s">
        <v>208</v>
      </c>
      <c r="E3" s="124">
        <f>SUM('Flujo de efectivo año 2'!N15:N19)</f>
        <v>2556306479.7127905</v>
      </c>
      <c r="G3" s="9" t="s">
        <v>208</v>
      </c>
      <c r="H3" s="124">
        <f>SUM('Flujo de efectivo año 3'!N15:N19)</f>
        <v>2602701512.3387661</v>
      </c>
    </row>
    <row r="4" spans="1:8" x14ac:dyDescent="0.2">
      <c r="A4" s="9" t="s">
        <v>209</v>
      </c>
      <c r="B4" s="123">
        <f>B2-B3</f>
        <v>93343925.583199978</v>
      </c>
      <c r="D4" s="9" t="s">
        <v>209</v>
      </c>
      <c r="E4" s="123">
        <f>E2-E3</f>
        <v>95211843.760954857</v>
      </c>
      <c r="G4" s="9" t="s">
        <v>209</v>
      </c>
      <c r="H4" s="123">
        <f>H2-H3</f>
        <v>96939866.841413498</v>
      </c>
    </row>
    <row r="5" spans="1:8" x14ac:dyDescent="0.2">
      <c r="A5" s="5" t="s">
        <v>210</v>
      </c>
      <c r="B5" s="124">
        <f>SUM('Flujo de efectivo año 1 '!N20:N38)</f>
        <v>82567052.435519993</v>
      </c>
      <c r="D5" s="5" t="s">
        <v>210</v>
      </c>
      <c r="E5" s="124">
        <f>SUM('Flujo de efectivo año 2'!N20:N36)</f>
        <v>160313344.87103999</v>
      </c>
      <c r="G5" s="5" t="s">
        <v>210</v>
      </c>
      <c r="H5" s="124">
        <f>SUM('Flujo de efectivo año 3'!N20:N36)</f>
        <v>163695956.44781893</v>
      </c>
    </row>
    <row r="6" spans="1:8" x14ac:dyDescent="0.2">
      <c r="A6" s="9" t="s">
        <v>211</v>
      </c>
      <c r="B6" s="123">
        <f>'Depreciaciones '!E19</f>
        <v>1516120</v>
      </c>
      <c r="D6" s="9" t="s">
        <v>211</v>
      </c>
      <c r="E6" s="123">
        <f>'Depreciaciones '!E19</f>
        <v>1516120</v>
      </c>
      <c r="G6" s="9" t="s">
        <v>211</v>
      </c>
      <c r="H6" s="123">
        <f>'Depreciaciones '!E19</f>
        <v>1516120</v>
      </c>
    </row>
    <row r="7" spans="1:8" x14ac:dyDescent="0.2">
      <c r="A7" s="9" t="s">
        <v>212</v>
      </c>
      <c r="B7" s="123">
        <f>B4-B5-B6</f>
        <v>9260753.1476799846</v>
      </c>
      <c r="D7" s="9" t="s">
        <v>212</v>
      </c>
      <c r="E7" s="123">
        <f>E4-E5-E6</f>
        <v>-66617621.11008513</v>
      </c>
      <c r="G7" s="9" t="s">
        <v>212</v>
      </c>
      <c r="H7" s="123">
        <f>H4-H5-H6</f>
        <v>-68272209.606405437</v>
      </c>
    </row>
    <row r="8" spans="1:8" x14ac:dyDescent="0.2">
      <c r="A8" s="9" t="s">
        <v>213</v>
      </c>
      <c r="B8" s="123">
        <f>'Flujo de efectivo año 1 '!N40</f>
        <v>3507164.4935896769</v>
      </c>
      <c r="D8" s="9" t="s">
        <v>213</v>
      </c>
      <c r="E8" s="123">
        <f>'Flujo de efectivo año 2'!N38</f>
        <v>2923655.4090229743</v>
      </c>
      <c r="G8" s="9" t="s">
        <v>213</v>
      </c>
      <c r="H8" s="123">
        <f>'Flujo de efectivo año 3'!N38</f>
        <v>2246344.6029797625</v>
      </c>
    </row>
    <row r="9" spans="1:8" x14ac:dyDescent="0.2">
      <c r="A9" s="9" t="s">
        <v>214</v>
      </c>
      <c r="B9" s="123">
        <f>B7-B8</f>
        <v>5753588.6540903077</v>
      </c>
      <c r="D9" s="9" t="s">
        <v>214</v>
      </c>
      <c r="E9" s="123">
        <f>E7-E8</f>
        <v>-69541276.519108102</v>
      </c>
      <c r="G9" s="9" t="s">
        <v>214</v>
      </c>
      <c r="H9" s="123">
        <f>H7-H8</f>
        <v>-70518554.209385201</v>
      </c>
    </row>
    <row r="10" spans="1:8" x14ac:dyDescent="0.2">
      <c r="A10" s="125" t="s">
        <v>215</v>
      </c>
      <c r="B10" s="124">
        <f>B9*15%</f>
        <v>863038.2981135461</v>
      </c>
      <c r="D10" s="125" t="s">
        <v>215</v>
      </c>
      <c r="E10" s="124">
        <f>E9*15%</f>
        <v>-10431191.477866216</v>
      </c>
      <c r="G10" s="125" t="s">
        <v>215</v>
      </c>
      <c r="H10" s="124">
        <f>H9*20%</f>
        <v>-14103710.841877041</v>
      </c>
    </row>
    <row r="11" spans="1:8" ht="15" customHeight="1" x14ac:dyDescent="0.25">
      <c r="A11" s="68" t="s">
        <v>216</v>
      </c>
      <c r="B11" s="126">
        <f>B9-B10</f>
        <v>4890550.3559767613</v>
      </c>
      <c r="D11" s="68" t="s">
        <v>216</v>
      </c>
      <c r="E11" s="126">
        <f>E9-E10</f>
        <v>-59110085.041241884</v>
      </c>
      <c r="G11" s="68" t="s">
        <v>216</v>
      </c>
      <c r="H11" s="126">
        <f>H9-H10</f>
        <v>-56414843.367508158</v>
      </c>
    </row>
  </sheetData>
  <mergeCells count="3">
    <mergeCell ref="A1:B1"/>
    <mergeCell ref="D1:E1"/>
    <mergeCell ref="G1:H1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outlinePr summaryBelow="0" summaryRight="0"/>
  </sheetPr>
  <dimension ref="A1:E8"/>
  <sheetViews>
    <sheetView workbookViewId="0">
      <selection activeCell="B7" sqref="B7"/>
    </sheetView>
  </sheetViews>
  <sheetFormatPr baseColWidth="10" defaultColWidth="11.21875" defaultRowHeight="15" customHeight="1" x14ac:dyDescent="0.2"/>
  <cols>
    <col min="2" max="2" width="45" customWidth="1"/>
  </cols>
  <sheetData>
    <row r="1" spans="1:5" x14ac:dyDescent="0.25">
      <c r="A1" s="127" t="s">
        <v>217</v>
      </c>
      <c r="B1" s="128" t="s">
        <v>218</v>
      </c>
      <c r="C1" s="129"/>
      <c r="D1" s="130"/>
      <c r="E1" s="130"/>
    </row>
    <row r="2" spans="1:5" x14ac:dyDescent="0.25">
      <c r="A2" s="131" t="s">
        <v>219</v>
      </c>
      <c r="B2" s="131">
        <v>-15000000</v>
      </c>
      <c r="C2" s="130"/>
      <c r="D2" s="132" t="s">
        <v>220</v>
      </c>
      <c r="E2" s="133">
        <v>0.1</v>
      </c>
    </row>
    <row r="3" spans="1:5" x14ac:dyDescent="0.25">
      <c r="A3" s="131">
        <v>1</v>
      </c>
      <c r="B3" s="134">
        <f>'Flujo de efectivo año 1 '!M62</f>
        <v>5347485.128923744</v>
      </c>
      <c r="C3" s="129"/>
      <c r="D3" s="129"/>
      <c r="E3" s="129"/>
    </row>
    <row r="4" spans="1:5" x14ac:dyDescent="0.25">
      <c r="A4" s="131">
        <v>2</v>
      </c>
      <c r="B4" s="134">
        <f>'Flujo de efectivo año 2'!M43</f>
        <v>-66890995.007068872</v>
      </c>
      <c r="C4" s="129"/>
      <c r="D4" s="129"/>
      <c r="E4" s="129"/>
    </row>
    <row r="5" spans="1:5" x14ac:dyDescent="0.25">
      <c r="A5" s="131">
        <v>3</v>
      </c>
      <c r="B5" s="135">
        <f>'Flujo de efectivo año 3'!M43</f>
        <v>-140784063.63938105</v>
      </c>
      <c r="C5" s="129"/>
      <c r="D5" s="129"/>
      <c r="E5" s="129"/>
    </row>
    <row r="6" spans="1:5" x14ac:dyDescent="0.25">
      <c r="A6" s="136" t="s">
        <v>221</v>
      </c>
      <c r="B6" s="137">
        <f t="array" ref="B6">NPV(E2,B3:B5)+B2</f>
        <v>-171193614.68156201</v>
      </c>
      <c r="C6" s="129"/>
      <c r="D6" s="129"/>
      <c r="E6" s="129"/>
    </row>
    <row r="7" spans="1:5" x14ac:dyDescent="0.25">
      <c r="A7" s="136" t="s">
        <v>222</v>
      </c>
      <c r="B7" s="138" t="e">
        <f>IRR(B2:B5)</f>
        <v>#NUM!</v>
      </c>
      <c r="C7" s="129"/>
      <c r="D7" s="129"/>
      <c r="E7" s="129"/>
    </row>
    <row r="8" spans="1:5" x14ac:dyDescent="0.25">
      <c r="A8" s="129"/>
      <c r="B8" s="129"/>
      <c r="C8" s="129"/>
      <c r="D8" s="129"/>
      <c r="E8" s="12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outlinePr summaryBelow="0" summaryRight="0"/>
  </sheetPr>
  <dimension ref="A1:J61"/>
  <sheetViews>
    <sheetView workbookViewId="0"/>
  </sheetViews>
  <sheetFormatPr baseColWidth="10" defaultColWidth="11.21875" defaultRowHeight="15" customHeight="1" x14ac:dyDescent="0.2"/>
  <cols>
    <col min="2" max="2" width="13.44140625" customWidth="1"/>
    <col min="5" max="5" width="12.33203125" customWidth="1"/>
    <col min="7" max="7" width="12.6640625" customWidth="1"/>
  </cols>
  <sheetData>
    <row r="1" spans="1:10" ht="15" customHeight="1" x14ac:dyDescent="0.3">
      <c r="A1" s="139" t="s">
        <v>149</v>
      </c>
      <c r="B1" s="140" t="s">
        <v>223</v>
      </c>
      <c r="C1" s="141" t="s">
        <v>224</v>
      </c>
      <c r="D1" s="140" t="s">
        <v>213</v>
      </c>
      <c r="E1" s="140" t="s">
        <v>225</v>
      </c>
      <c r="F1" s="140" t="s">
        <v>226</v>
      </c>
      <c r="G1" s="142" t="s">
        <v>227</v>
      </c>
      <c r="H1" s="143"/>
      <c r="I1" s="194" t="s">
        <v>228</v>
      </c>
      <c r="J1" s="181"/>
    </row>
    <row r="2" spans="1:10" ht="15" customHeight="1" x14ac:dyDescent="0.25">
      <c r="A2" s="144">
        <v>1</v>
      </c>
      <c r="B2" s="145">
        <v>25000000</v>
      </c>
      <c r="C2" s="146">
        <v>0.15</v>
      </c>
      <c r="D2" s="144">
        <f t="shared" ref="D2:D40" si="0">+B2*(C2/12)</f>
        <v>312500</v>
      </c>
      <c r="E2" s="147">
        <f t="shared" ref="E2:E61" si="1">+F2-D2</f>
        <v>282248.25215896824</v>
      </c>
      <c r="F2" s="147">
        <f t="shared" ref="F2:F61" si="2">$J$2</f>
        <v>594748.25215896824</v>
      </c>
      <c r="G2" s="147">
        <f t="shared" ref="G2:G61" si="3">+B2-E2</f>
        <v>24717751.74784103</v>
      </c>
      <c r="H2" s="143"/>
      <c r="I2" s="148" t="s">
        <v>229</v>
      </c>
      <c r="J2" s="149">
        <f>+PMT(15%/12,60,-B2)</f>
        <v>594748.25215896824</v>
      </c>
    </row>
    <row r="3" spans="1:10" ht="15" customHeight="1" x14ac:dyDescent="0.25">
      <c r="A3" s="144">
        <v>2</v>
      </c>
      <c r="B3" s="147">
        <f t="shared" ref="B3:B61" si="4">+G2</f>
        <v>24717751.74784103</v>
      </c>
      <c r="C3" s="150">
        <v>0.15</v>
      </c>
      <c r="D3" s="144">
        <f t="shared" si="0"/>
        <v>308971.89684801287</v>
      </c>
      <c r="E3" s="147">
        <f t="shared" si="1"/>
        <v>285776.35531095538</v>
      </c>
      <c r="F3" s="147">
        <f t="shared" si="2"/>
        <v>594748.25215896824</v>
      </c>
      <c r="G3" s="147">
        <f t="shared" si="3"/>
        <v>24431975.392530076</v>
      </c>
      <c r="H3" s="143"/>
      <c r="I3" s="143"/>
      <c r="J3" s="143"/>
    </row>
    <row r="4" spans="1:10" ht="15" customHeight="1" x14ac:dyDescent="0.25">
      <c r="A4" s="144">
        <v>3</v>
      </c>
      <c r="B4" s="147">
        <f t="shared" si="4"/>
        <v>24431975.392530076</v>
      </c>
      <c r="C4" s="146">
        <v>0.15</v>
      </c>
      <c r="D4" s="144">
        <f t="shared" si="0"/>
        <v>305399.69240662595</v>
      </c>
      <c r="E4" s="147">
        <f t="shared" si="1"/>
        <v>289348.55975234229</v>
      </c>
      <c r="F4" s="147">
        <f t="shared" si="2"/>
        <v>594748.25215896824</v>
      </c>
      <c r="G4" s="147">
        <f t="shared" si="3"/>
        <v>24142626.832777735</v>
      </c>
      <c r="H4" s="143"/>
      <c r="I4" s="143"/>
      <c r="J4" s="143"/>
    </row>
    <row r="5" spans="1:10" ht="15" customHeight="1" x14ac:dyDescent="0.25">
      <c r="A5" s="144">
        <v>4</v>
      </c>
      <c r="B5" s="147">
        <f t="shared" si="4"/>
        <v>24142626.832777735</v>
      </c>
      <c r="C5" s="146">
        <v>0.15</v>
      </c>
      <c r="D5" s="144">
        <f t="shared" si="0"/>
        <v>301782.83540972165</v>
      </c>
      <c r="E5" s="147">
        <f t="shared" si="1"/>
        <v>292965.41674924659</v>
      </c>
      <c r="F5" s="147">
        <f t="shared" si="2"/>
        <v>594748.25215896824</v>
      </c>
      <c r="G5" s="147">
        <f t="shared" si="3"/>
        <v>23849661.416028488</v>
      </c>
      <c r="H5" s="143"/>
      <c r="I5" s="143"/>
      <c r="J5" s="143"/>
    </row>
    <row r="6" spans="1:10" ht="15" customHeight="1" x14ac:dyDescent="0.25">
      <c r="A6" s="144">
        <v>5</v>
      </c>
      <c r="B6" s="147">
        <f t="shared" si="4"/>
        <v>23849661.416028488</v>
      </c>
      <c r="C6" s="146">
        <v>0.15</v>
      </c>
      <c r="D6" s="144">
        <f t="shared" si="0"/>
        <v>298120.76770035608</v>
      </c>
      <c r="E6" s="147">
        <f t="shared" si="1"/>
        <v>296627.48445861216</v>
      </c>
      <c r="F6" s="147">
        <f t="shared" si="2"/>
        <v>594748.25215896824</v>
      </c>
      <c r="G6" s="147">
        <f t="shared" si="3"/>
        <v>23553033.931569878</v>
      </c>
      <c r="H6" s="143"/>
      <c r="I6" s="143"/>
      <c r="J6" s="143"/>
    </row>
    <row r="7" spans="1:10" ht="15" customHeight="1" x14ac:dyDescent="0.25">
      <c r="A7" s="144">
        <v>6</v>
      </c>
      <c r="B7" s="147">
        <f t="shared" si="4"/>
        <v>23553033.931569878</v>
      </c>
      <c r="C7" s="146">
        <v>0.15</v>
      </c>
      <c r="D7" s="144">
        <f t="shared" si="0"/>
        <v>294412.92414462345</v>
      </c>
      <c r="E7" s="147">
        <f t="shared" si="1"/>
        <v>300335.32801434479</v>
      </c>
      <c r="F7" s="147">
        <f t="shared" si="2"/>
        <v>594748.25215896824</v>
      </c>
      <c r="G7" s="147">
        <f t="shared" si="3"/>
        <v>23252698.603555534</v>
      </c>
      <c r="H7" s="143"/>
      <c r="I7" s="143"/>
      <c r="J7" s="143"/>
    </row>
    <row r="8" spans="1:10" ht="15" customHeight="1" x14ac:dyDescent="0.25">
      <c r="A8" s="144">
        <v>7</v>
      </c>
      <c r="B8" s="147">
        <f t="shared" si="4"/>
        <v>23252698.603555534</v>
      </c>
      <c r="C8" s="146">
        <v>0.15</v>
      </c>
      <c r="D8" s="144">
        <f t="shared" si="0"/>
        <v>290658.73254444415</v>
      </c>
      <c r="E8" s="147">
        <f t="shared" si="1"/>
        <v>304089.51961452409</v>
      </c>
      <c r="F8" s="147">
        <f t="shared" si="2"/>
        <v>594748.25215896824</v>
      </c>
      <c r="G8" s="147">
        <f t="shared" si="3"/>
        <v>22948609.083941009</v>
      </c>
      <c r="H8" s="143"/>
      <c r="I8" s="143"/>
      <c r="J8" s="143"/>
    </row>
    <row r="9" spans="1:10" ht="15" customHeight="1" x14ac:dyDescent="0.25">
      <c r="A9" s="144">
        <v>8</v>
      </c>
      <c r="B9" s="147">
        <f t="shared" si="4"/>
        <v>22948609.083941009</v>
      </c>
      <c r="C9" s="146">
        <v>0.15</v>
      </c>
      <c r="D9" s="144">
        <f t="shared" si="0"/>
        <v>286857.61354926258</v>
      </c>
      <c r="E9" s="147">
        <f t="shared" si="1"/>
        <v>307890.63860970567</v>
      </c>
      <c r="F9" s="147">
        <f t="shared" si="2"/>
        <v>594748.25215896824</v>
      </c>
      <c r="G9" s="147">
        <f t="shared" si="3"/>
        <v>22640718.445331302</v>
      </c>
      <c r="H9" s="143"/>
      <c r="I9" s="143"/>
      <c r="J9" s="143"/>
    </row>
    <row r="10" spans="1:10" ht="15" customHeight="1" x14ac:dyDescent="0.25">
      <c r="A10" s="144">
        <v>9</v>
      </c>
      <c r="B10" s="147">
        <f t="shared" si="4"/>
        <v>22640718.445331302</v>
      </c>
      <c r="C10" s="146">
        <v>0.15</v>
      </c>
      <c r="D10" s="144">
        <f t="shared" si="0"/>
        <v>283008.98056664126</v>
      </c>
      <c r="E10" s="147">
        <f t="shared" si="1"/>
        <v>311739.27159232699</v>
      </c>
      <c r="F10" s="147">
        <f t="shared" si="2"/>
        <v>594748.25215896824</v>
      </c>
      <c r="G10" s="147">
        <f t="shared" si="3"/>
        <v>22328979.173738975</v>
      </c>
      <c r="H10" s="143"/>
      <c r="I10" s="143"/>
      <c r="J10" s="143"/>
    </row>
    <row r="11" spans="1:10" ht="15" customHeight="1" x14ac:dyDescent="0.25">
      <c r="A11" s="144">
        <v>10</v>
      </c>
      <c r="B11" s="147">
        <f t="shared" si="4"/>
        <v>22328979.173738975</v>
      </c>
      <c r="C11" s="146">
        <v>0.15</v>
      </c>
      <c r="D11" s="144">
        <f t="shared" si="0"/>
        <v>279112.23967173719</v>
      </c>
      <c r="E11" s="147">
        <f t="shared" si="1"/>
        <v>315636.01248723106</v>
      </c>
      <c r="F11" s="147">
        <f t="shared" si="2"/>
        <v>594748.25215896824</v>
      </c>
      <c r="G11" s="147">
        <f t="shared" si="3"/>
        <v>22013343.161251742</v>
      </c>
      <c r="H11" s="143"/>
      <c r="I11" s="143"/>
      <c r="J11" s="143"/>
    </row>
    <row r="12" spans="1:10" ht="15" customHeight="1" x14ac:dyDescent="0.25">
      <c r="A12" s="144">
        <v>11</v>
      </c>
      <c r="B12" s="147">
        <f t="shared" si="4"/>
        <v>22013343.161251742</v>
      </c>
      <c r="C12" s="146">
        <v>0.15</v>
      </c>
      <c r="D12" s="144">
        <f t="shared" si="0"/>
        <v>275166.78951564676</v>
      </c>
      <c r="E12" s="147">
        <f t="shared" si="1"/>
        <v>319581.46264332149</v>
      </c>
      <c r="F12" s="147">
        <f t="shared" si="2"/>
        <v>594748.25215896824</v>
      </c>
      <c r="G12" s="147">
        <f t="shared" si="3"/>
        <v>21693761.698608421</v>
      </c>
      <c r="H12" s="143"/>
      <c r="I12" s="143"/>
      <c r="J12" s="143"/>
    </row>
    <row r="13" spans="1:10" ht="15" customHeight="1" x14ac:dyDescent="0.25">
      <c r="A13" s="145">
        <v>12</v>
      </c>
      <c r="B13" s="147">
        <f t="shared" si="4"/>
        <v>21693761.698608421</v>
      </c>
      <c r="C13" s="146">
        <v>0.15</v>
      </c>
      <c r="D13" s="144">
        <f t="shared" si="0"/>
        <v>271172.02123260521</v>
      </c>
      <c r="E13" s="147">
        <f t="shared" si="1"/>
        <v>323576.23092636303</v>
      </c>
      <c r="F13" s="147">
        <f t="shared" si="2"/>
        <v>594748.25215896824</v>
      </c>
      <c r="G13" s="147">
        <f t="shared" si="3"/>
        <v>21370185.467682056</v>
      </c>
      <c r="H13" s="143"/>
      <c r="I13" s="143"/>
      <c r="J13" s="143"/>
    </row>
    <row r="14" spans="1:10" ht="15" customHeight="1" x14ac:dyDescent="0.25">
      <c r="A14" s="144">
        <v>13</v>
      </c>
      <c r="B14" s="147">
        <f t="shared" si="4"/>
        <v>21370185.467682056</v>
      </c>
      <c r="C14" s="146">
        <v>0.15</v>
      </c>
      <c r="D14" s="144">
        <f t="shared" si="0"/>
        <v>267127.31834602566</v>
      </c>
      <c r="E14" s="147">
        <f t="shared" si="1"/>
        <v>327620.93381294259</v>
      </c>
      <c r="F14" s="147">
        <f t="shared" si="2"/>
        <v>594748.25215896824</v>
      </c>
      <c r="G14" s="147">
        <f t="shared" si="3"/>
        <v>21042564.533869114</v>
      </c>
      <c r="H14" s="143"/>
      <c r="I14" s="143"/>
      <c r="J14" s="143"/>
    </row>
    <row r="15" spans="1:10" ht="15" customHeight="1" x14ac:dyDescent="0.25">
      <c r="A15" s="144">
        <v>14</v>
      </c>
      <c r="B15" s="147">
        <f t="shared" si="4"/>
        <v>21042564.533869114</v>
      </c>
      <c r="C15" s="146">
        <v>0.15</v>
      </c>
      <c r="D15" s="144">
        <f t="shared" si="0"/>
        <v>263032.0566733639</v>
      </c>
      <c r="E15" s="147">
        <f t="shared" si="1"/>
        <v>331716.19548560434</v>
      </c>
      <c r="F15" s="147">
        <f t="shared" si="2"/>
        <v>594748.25215896824</v>
      </c>
      <c r="G15" s="147">
        <f t="shared" si="3"/>
        <v>20710848.338383511</v>
      </c>
      <c r="H15" s="143"/>
      <c r="I15" s="143"/>
      <c r="J15" s="143"/>
    </row>
    <row r="16" spans="1:10" ht="15" customHeight="1" x14ac:dyDescent="0.25">
      <c r="A16" s="144">
        <v>15</v>
      </c>
      <c r="B16" s="147">
        <f t="shared" si="4"/>
        <v>20710848.338383511</v>
      </c>
      <c r="C16" s="146">
        <v>0.15</v>
      </c>
      <c r="D16" s="144">
        <f t="shared" si="0"/>
        <v>258885.60422979385</v>
      </c>
      <c r="E16" s="147">
        <f t="shared" si="1"/>
        <v>335862.64792917436</v>
      </c>
      <c r="F16" s="147">
        <f t="shared" si="2"/>
        <v>594748.25215896824</v>
      </c>
      <c r="G16" s="147">
        <f t="shared" si="3"/>
        <v>20374985.690454338</v>
      </c>
      <c r="H16" s="143"/>
      <c r="I16" s="143"/>
      <c r="J16" s="143"/>
    </row>
    <row r="17" spans="1:10" ht="15" customHeight="1" x14ac:dyDescent="0.25">
      <c r="A17" s="144">
        <v>16</v>
      </c>
      <c r="B17" s="147">
        <f t="shared" si="4"/>
        <v>20374985.690454338</v>
      </c>
      <c r="C17" s="146">
        <v>0.15</v>
      </c>
      <c r="D17" s="144">
        <f t="shared" si="0"/>
        <v>254687.32113067919</v>
      </c>
      <c r="E17" s="147">
        <f t="shared" si="1"/>
        <v>340060.93102828902</v>
      </c>
      <c r="F17" s="147">
        <f t="shared" si="2"/>
        <v>594748.25215896824</v>
      </c>
      <c r="G17" s="147">
        <f t="shared" si="3"/>
        <v>20034924.75942605</v>
      </c>
      <c r="H17" s="143"/>
      <c r="I17" s="143"/>
      <c r="J17" s="143"/>
    </row>
    <row r="18" spans="1:10" ht="15" customHeight="1" x14ac:dyDescent="0.25">
      <c r="A18" s="144">
        <v>17</v>
      </c>
      <c r="B18" s="147">
        <f t="shared" si="4"/>
        <v>20034924.75942605</v>
      </c>
      <c r="C18" s="146">
        <v>0.15</v>
      </c>
      <c r="D18" s="144">
        <f t="shared" si="0"/>
        <v>250436.55949282559</v>
      </c>
      <c r="E18" s="147">
        <f t="shared" si="1"/>
        <v>344311.69266614266</v>
      </c>
      <c r="F18" s="147">
        <f t="shared" si="2"/>
        <v>594748.25215896824</v>
      </c>
      <c r="G18" s="147">
        <f t="shared" si="3"/>
        <v>19690613.066759907</v>
      </c>
      <c r="H18" s="143"/>
      <c r="I18" s="143"/>
      <c r="J18" s="143"/>
    </row>
    <row r="19" spans="1:10" ht="15" customHeight="1" x14ac:dyDescent="0.25">
      <c r="A19" s="144">
        <v>18</v>
      </c>
      <c r="B19" s="147">
        <f t="shared" si="4"/>
        <v>19690613.066759907</v>
      </c>
      <c r="C19" s="146">
        <v>0.15</v>
      </c>
      <c r="D19" s="144">
        <f t="shared" si="0"/>
        <v>246132.66333449882</v>
      </c>
      <c r="E19" s="147">
        <f t="shared" si="1"/>
        <v>348615.58882446942</v>
      </c>
      <c r="F19" s="147">
        <f t="shared" si="2"/>
        <v>594748.25215896824</v>
      </c>
      <c r="G19" s="147">
        <f t="shared" si="3"/>
        <v>19341997.477935437</v>
      </c>
      <c r="H19" s="143"/>
      <c r="I19" s="143"/>
      <c r="J19" s="143"/>
    </row>
    <row r="20" spans="1:10" ht="15" customHeight="1" x14ac:dyDescent="0.25">
      <c r="A20" s="144">
        <v>19</v>
      </c>
      <c r="B20" s="147">
        <f t="shared" si="4"/>
        <v>19341997.477935437</v>
      </c>
      <c r="C20" s="146">
        <v>0.15</v>
      </c>
      <c r="D20" s="144">
        <f t="shared" si="0"/>
        <v>241774.96847419295</v>
      </c>
      <c r="E20" s="147">
        <f t="shared" si="1"/>
        <v>352973.28368477529</v>
      </c>
      <c r="F20" s="147">
        <f t="shared" si="2"/>
        <v>594748.25215896824</v>
      </c>
      <c r="G20" s="147">
        <f t="shared" si="3"/>
        <v>18989024.194250662</v>
      </c>
      <c r="H20" s="143"/>
      <c r="I20" s="143"/>
      <c r="J20" s="143"/>
    </row>
    <row r="21" spans="1:10" ht="15" customHeight="1" x14ac:dyDescent="0.25">
      <c r="A21" s="144">
        <v>20</v>
      </c>
      <c r="B21" s="147">
        <f t="shared" si="4"/>
        <v>18989024.194250662</v>
      </c>
      <c r="C21" s="146">
        <v>0.15</v>
      </c>
      <c r="D21" s="144">
        <f t="shared" si="0"/>
        <v>237362.80242813326</v>
      </c>
      <c r="E21" s="147">
        <f t="shared" si="1"/>
        <v>357385.44973083498</v>
      </c>
      <c r="F21" s="147">
        <f t="shared" si="2"/>
        <v>594748.25215896824</v>
      </c>
      <c r="G21" s="147">
        <f t="shared" si="3"/>
        <v>18631638.744519826</v>
      </c>
      <c r="H21" s="143"/>
      <c r="I21" s="143"/>
      <c r="J21" s="143"/>
    </row>
    <row r="22" spans="1:10" ht="15" customHeight="1" x14ac:dyDescent="0.25">
      <c r="A22" s="144">
        <v>21</v>
      </c>
      <c r="B22" s="147">
        <f t="shared" si="4"/>
        <v>18631638.744519826</v>
      </c>
      <c r="C22" s="146">
        <v>0.15</v>
      </c>
      <c r="D22" s="144">
        <f t="shared" si="0"/>
        <v>232895.48430649782</v>
      </c>
      <c r="E22" s="147">
        <f t="shared" si="1"/>
        <v>361852.7678524704</v>
      </c>
      <c r="F22" s="147">
        <f t="shared" si="2"/>
        <v>594748.25215896824</v>
      </c>
      <c r="G22" s="147">
        <f t="shared" si="3"/>
        <v>18269785.976667356</v>
      </c>
      <c r="H22" s="143"/>
      <c r="I22" s="143"/>
      <c r="J22" s="143"/>
    </row>
    <row r="23" spans="1:10" ht="15" customHeight="1" x14ac:dyDescent="0.25">
      <c r="A23" s="144">
        <v>22</v>
      </c>
      <c r="B23" s="147">
        <f t="shared" si="4"/>
        <v>18269785.976667356</v>
      </c>
      <c r="C23" s="146">
        <v>0.15</v>
      </c>
      <c r="D23" s="144">
        <f t="shared" si="0"/>
        <v>228372.32470834194</v>
      </c>
      <c r="E23" s="147">
        <f t="shared" si="1"/>
        <v>366375.92745062627</v>
      </c>
      <c r="F23" s="147">
        <f t="shared" si="2"/>
        <v>594748.25215896824</v>
      </c>
      <c r="G23" s="147">
        <f t="shared" si="3"/>
        <v>17903410.049216729</v>
      </c>
      <c r="H23" s="143"/>
      <c r="I23" s="143"/>
      <c r="J23" s="143"/>
    </row>
    <row r="24" spans="1:10" ht="15.75" x14ac:dyDescent="0.25">
      <c r="A24" s="144">
        <v>23</v>
      </c>
      <c r="B24" s="147">
        <f t="shared" si="4"/>
        <v>17903410.049216729</v>
      </c>
      <c r="C24" s="146">
        <v>0.15</v>
      </c>
      <c r="D24" s="144">
        <f t="shared" si="0"/>
        <v>223792.62561520908</v>
      </c>
      <c r="E24" s="147">
        <f t="shared" si="1"/>
        <v>370955.62654375914</v>
      </c>
      <c r="F24" s="147">
        <f t="shared" si="2"/>
        <v>594748.25215896824</v>
      </c>
      <c r="G24" s="147">
        <f t="shared" si="3"/>
        <v>17532454.422672968</v>
      </c>
      <c r="H24" s="143"/>
      <c r="I24" s="143"/>
      <c r="J24" s="143"/>
    </row>
    <row r="25" spans="1:10" ht="15.75" x14ac:dyDescent="0.25">
      <c r="A25" s="144">
        <v>24</v>
      </c>
      <c r="B25" s="147">
        <f t="shared" si="4"/>
        <v>17532454.422672968</v>
      </c>
      <c r="C25" s="146">
        <v>0.15</v>
      </c>
      <c r="D25" s="144">
        <f t="shared" si="0"/>
        <v>219155.68028341208</v>
      </c>
      <c r="E25" s="147">
        <f t="shared" si="1"/>
        <v>375592.57187555614</v>
      </c>
      <c r="F25" s="147">
        <f t="shared" si="2"/>
        <v>594748.25215896824</v>
      </c>
      <c r="G25" s="147">
        <f t="shared" si="3"/>
        <v>17156861.850797411</v>
      </c>
      <c r="H25" s="143"/>
      <c r="I25" s="143"/>
      <c r="J25" s="143"/>
    </row>
    <row r="26" spans="1:10" ht="15.75" x14ac:dyDescent="0.25">
      <c r="A26" s="144">
        <v>25</v>
      </c>
      <c r="B26" s="147">
        <f t="shared" si="4"/>
        <v>17156861.850797411</v>
      </c>
      <c r="C26" s="146">
        <v>0.15</v>
      </c>
      <c r="D26" s="144">
        <f t="shared" si="0"/>
        <v>214460.77313496763</v>
      </c>
      <c r="E26" s="147">
        <f t="shared" si="1"/>
        <v>380287.47902400058</v>
      </c>
      <c r="F26" s="147">
        <f t="shared" si="2"/>
        <v>594748.25215896824</v>
      </c>
      <c r="G26" s="147">
        <f t="shared" si="3"/>
        <v>16776574.371773411</v>
      </c>
      <c r="H26" s="143"/>
      <c r="I26" s="143"/>
      <c r="J26" s="143"/>
    </row>
    <row r="27" spans="1:10" ht="15.75" x14ac:dyDescent="0.25">
      <c r="A27" s="144">
        <v>26</v>
      </c>
      <c r="B27" s="147">
        <f t="shared" si="4"/>
        <v>16776574.371773411</v>
      </c>
      <c r="C27" s="146">
        <v>0.15</v>
      </c>
      <c r="D27" s="144">
        <f t="shared" si="0"/>
        <v>209707.17964716762</v>
      </c>
      <c r="E27" s="147">
        <f t="shared" si="1"/>
        <v>385041.07251180062</v>
      </c>
      <c r="F27" s="147">
        <f t="shared" si="2"/>
        <v>594748.25215896824</v>
      </c>
      <c r="G27" s="147">
        <f t="shared" si="3"/>
        <v>16391533.299261609</v>
      </c>
      <c r="H27" s="143"/>
      <c r="I27" s="143"/>
      <c r="J27" s="143"/>
    </row>
    <row r="28" spans="1:10" ht="15.75" x14ac:dyDescent="0.25">
      <c r="A28" s="144">
        <v>27</v>
      </c>
      <c r="B28" s="147">
        <f t="shared" si="4"/>
        <v>16391533.299261609</v>
      </c>
      <c r="C28" s="146">
        <v>0.15</v>
      </c>
      <c r="D28" s="144">
        <f t="shared" si="0"/>
        <v>204894.16624077011</v>
      </c>
      <c r="E28" s="147">
        <f t="shared" si="1"/>
        <v>389854.08591819811</v>
      </c>
      <c r="F28" s="147">
        <f t="shared" si="2"/>
        <v>594748.25215896824</v>
      </c>
      <c r="G28" s="147">
        <f t="shared" si="3"/>
        <v>16001679.213343412</v>
      </c>
      <c r="H28" s="143"/>
      <c r="I28" s="143"/>
      <c r="J28" s="143"/>
    </row>
    <row r="29" spans="1:10" ht="15.75" x14ac:dyDescent="0.25">
      <c r="A29" s="144">
        <v>28</v>
      </c>
      <c r="B29" s="147">
        <f t="shared" si="4"/>
        <v>16001679.213343412</v>
      </c>
      <c r="C29" s="146">
        <v>0.15</v>
      </c>
      <c r="D29" s="144">
        <f t="shared" si="0"/>
        <v>200020.99016679262</v>
      </c>
      <c r="E29" s="147">
        <f t="shared" si="1"/>
        <v>394727.2619921756</v>
      </c>
      <c r="F29" s="147">
        <f t="shared" si="2"/>
        <v>594748.25215896824</v>
      </c>
      <c r="G29" s="147">
        <f t="shared" si="3"/>
        <v>15606951.951351237</v>
      </c>
      <c r="H29" s="143"/>
      <c r="I29" s="143"/>
      <c r="J29" s="143"/>
    </row>
    <row r="30" spans="1:10" ht="15.75" x14ac:dyDescent="0.25">
      <c r="A30" s="144">
        <v>29</v>
      </c>
      <c r="B30" s="147">
        <f t="shared" si="4"/>
        <v>15606951.951351237</v>
      </c>
      <c r="C30" s="146">
        <v>0.15</v>
      </c>
      <c r="D30" s="144">
        <f t="shared" si="0"/>
        <v>195086.89939189045</v>
      </c>
      <c r="E30" s="147">
        <f t="shared" si="1"/>
        <v>399661.3527670778</v>
      </c>
      <c r="F30" s="147">
        <f t="shared" si="2"/>
        <v>594748.25215896824</v>
      </c>
      <c r="G30" s="147">
        <f t="shared" si="3"/>
        <v>15207290.598584158</v>
      </c>
      <c r="H30" s="143"/>
      <c r="I30" s="143"/>
      <c r="J30" s="143"/>
    </row>
    <row r="31" spans="1:10" ht="15.75" x14ac:dyDescent="0.25">
      <c r="A31" s="144">
        <v>30</v>
      </c>
      <c r="B31" s="147">
        <f t="shared" si="4"/>
        <v>15207290.598584158</v>
      </c>
      <c r="C31" s="146">
        <v>0.15</v>
      </c>
      <c r="D31" s="144">
        <f t="shared" si="0"/>
        <v>190091.13248230197</v>
      </c>
      <c r="E31" s="147">
        <f t="shared" si="1"/>
        <v>404657.11967666628</v>
      </c>
      <c r="F31" s="147">
        <f t="shared" si="2"/>
        <v>594748.25215896824</v>
      </c>
      <c r="G31" s="147">
        <f t="shared" si="3"/>
        <v>14802633.478907492</v>
      </c>
      <c r="H31" s="143"/>
      <c r="I31" s="143"/>
      <c r="J31" s="143"/>
    </row>
    <row r="32" spans="1:10" ht="15.75" x14ac:dyDescent="0.25">
      <c r="A32" s="144">
        <v>31</v>
      </c>
      <c r="B32" s="147">
        <f t="shared" si="4"/>
        <v>14802633.478907492</v>
      </c>
      <c r="C32" s="146">
        <v>0.15</v>
      </c>
      <c r="D32" s="144">
        <f t="shared" si="0"/>
        <v>185032.91848634364</v>
      </c>
      <c r="E32" s="147">
        <f t="shared" si="1"/>
        <v>409715.33367262461</v>
      </c>
      <c r="F32" s="147">
        <f t="shared" si="2"/>
        <v>594748.25215896824</v>
      </c>
      <c r="G32" s="147">
        <f t="shared" si="3"/>
        <v>14392918.145234868</v>
      </c>
      <c r="H32" s="143"/>
      <c r="I32" s="143"/>
      <c r="J32" s="143"/>
    </row>
    <row r="33" spans="1:10" ht="15.75" x14ac:dyDescent="0.25">
      <c r="A33" s="144">
        <v>32</v>
      </c>
      <c r="B33" s="147">
        <f t="shared" si="4"/>
        <v>14392918.145234868</v>
      </c>
      <c r="C33" s="146">
        <v>0.15</v>
      </c>
      <c r="D33" s="144">
        <f t="shared" si="0"/>
        <v>179911.47681543583</v>
      </c>
      <c r="E33" s="147">
        <f t="shared" si="1"/>
        <v>414836.77534353244</v>
      </c>
      <c r="F33" s="147">
        <f t="shared" si="2"/>
        <v>594748.25215896824</v>
      </c>
      <c r="G33" s="147">
        <f t="shared" si="3"/>
        <v>13978081.369891336</v>
      </c>
      <c r="H33" s="143"/>
      <c r="I33" s="143"/>
      <c r="J33" s="143"/>
    </row>
    <row r="34" spans="1:10" ht="15.75" x14ac:dyDescent="0.25">
      <c r="A34" s="144">
        <v>33</v>
      </c>
      <c r="B34" s="147">
        <f t="shared" si="4"/>
        <v>13978081.369891336</v>
      </c>
      <c r="C34" s="146">
        <v>0.15</v>
      </c>
      <c r="D34" s="144">
        <f t="shared" si="0"/>
        <v>174726.01712364168</v>
      </c>
      <c r="E34" s="147">
        <f t="shared" si="1"/>
        <v>420022.23503532656</v>
      </c>
      <c r="F34" s="147">
        <f t="shared" si="2"/>
        <v>594748.25215896824</v>
      </c>
      <c r="G34" s="147">
        <f t="shared" si="3"/>
        <v>13558059.13485601</v>
      </c>
      <c r="H34" s="143"/>
      <c r="I34" s="143"/>
      <c r="J34" s="143"/>
    </row>
    <row r="35" spans="1:10" ht="15.75" x14ac:dyDescent="0.25">
      <c r="A35" s="144">
        <v>34</v>
      </c>
      <c r="B35" s="147">
        <f t="shared" si="4"/>
        <v>13558059.13485601</v>
      </c>
      <c r="C35" s="146">
        <v>0.15</v>
      </c>
      <c r="D35" s="144">
        <f t="shared" si="0"/>
        <v>169475.73918570011</v>
      </c>
      <c r="E35" s="147">
        <f t="shared" si="1"/>
        <v>425272.51297326817</v>
      </c>
      <c r="F35" s="147">
        <f t="shared" si="2"/>
        <v>594748.25215896824</v>
      </c>
      <c r="G35" s="147">
        <f t="shared" si="3"/>
        <v>13132786.621882742</v>
      </c>
      <c r="H35" s="143"/>
      <c r="I35" s="143"/>
      <c r="J35" s="143"/>
    </row>
    <row r="36" spans="1:10" ht="15.75" x14ac:dyDescent="0.25">
      <c r="A36" s="144">
        <v>35</v>
      </c>
      <c r="B36" s="147">
        <f t="shared" si="4"/>
        <v>13132786.621882742</v>
      </c>
      <c r="C36" s="146">
        <v>0.15</v>
      </c>
      <c r="D36" s="144">
        <f t="shared" si="0"/>
        <v>164159.83277353426</v>
      </c>
      <c r="E36" s="147">
        <f t="shared" si="1"/>
        <v>430588.41938543401</v>
      </c>
      <c r="F36" s="147">
        <f t="shared" si="2"/>
        <v>594748.25215896824</v>
      </c>
      <c r="G36" s="147">
        <f t="shared" si="3"/>
        <v>12702198.202497309</v>
      </c>
      <c r="H36" s="143"/>
      <c r="I36" s="143"/>
      <c r="J36" s="143"/>
    </row>
    <row r="37" spans="1:10" ht="15.75" x14ac:dyDescent="0.25">
      <c r="A37" s="144">
        <v>36</v>
      </c>
      <c r="B37" s="147">
        <f t="shared" si="4"/>
        <v>12702198.202497309</v>
      </c>
      <c r="C37" s="146">
        <v>0.15</v>
      </c>
      <c r="D37" s="144">
        <f t="shared" si="0"/>
        <v>158777.47753121634</v>
      </c>
      <c r="E37" s="147">
        <f t="shared" si="1"/>
        <v>435970.7746277519</v>
      </c>
      <c r="F37" s="147">
        <f t="shared" si="2"/>
        <v>594748.25215896824</v>
      </c>
      <c r="G37" s="147">
        <f t="shared" si="3"/>
        <v>12266227.427869556</v>
      </c>
      <c r="H37" s="143"/>
      <c r="I37" s="143"/>
      <c r="J37" s="143"/>
    </row>
    <row r="38" spans="1:10" ht="15.75" x14ac:dyDescent="0.25">
      <c r="A38" s="144">
        <v>37</v>
      </c>
      <c r="B38" s="147">
        <f t="shared" si="4"/>
        <v>12266227.427869556</v>
      </c>
      <c r="C38" s="146">
        <v>0.15</v>
      </c>
      <c r="D38" s="144">
        <f t="shared" si="0"/>
        <v>153327.84284836944</v>
      </c>
      <c r="E38" s="147">
        <f t="shared" si="1"/>
        <v>441420.4093105988</v>
      </c>
      <c r="F38" s="147">
        <f t="shared" si="2"/>
        <v>594748.25215896824</v>
      </c>
      <c r="G38" s="147">
        <f t="shared" si="3"/>
        <v>11824807.018558959</v>
      </c>
      <c r="H38" s="143"/>
      <c r="I38" s="143"/>
      <c r="J38" s="143"/>
    </row>
    <row r="39" spans="1:10" ht="15.75" x14ac:dyDescent="0.25">
      <c r="A39" s="144">
        <v>38</v>
      </c>
      <c r="B39" s="147">
        <f t="shared" si="4"/>
        <v>11824807.018558959</v>
      </c>
      <c r="C39" s="146">
        <v>0.15</v>
      </c>
      <c r="D39" s="144">
        <f t="shared" si="0"/>
        <v>147810.08773198698</v>
      </c>
      <c r="E39" s="147">
        <f t="shared" si="1"/>
        <v>446938.16442698124</v>
      </c>
      <c r="F39" s="147">
        <f t="shared" si="2"/>
        <v>594748.25215896824</v>
      </c>
      <c r="G39" s="147">
        <f t="shared" si="3"/>
        <v>11377868.854131978</v>
      </c>
      <c r="H39" s="143"/>
      <c r="I39" s="143"/>
      <c r="J39" s="143"/>
    </row>
    <row r="40" spans="1:10" ht="15.75" x14ac:dyDescent="0.25">
      <c r="A40" s="144">
        <v>39</v>
      </c>
      <c r="B40" s="147">
        <f t="shared" si="4"/>
        <v>11377868.854131978</v>
      </c>
      <c r="C40" s="146">
        <v>0.15</v>
      </c>
      <c r="D40" s="144">
        <f t="shared" si="0"/>
        <v>142223.36067664973</v>
      </c>
      <c r="E40" s="147">
        <f t="shared" si="1"/>
        <v>452524.89148231852</v>
      </c>
      <c r="F40" s="147">
        <f t="shared" si="2"/>
        <v>594748.25215896824</v>
      </c>
      <c r="G40" s="147">
        <f t="shared" si="3"/>
        <v>10925343.96264966</v>
      </c>
      <c r="H40" s="143"/>
      <c r="I40" s="143"/>
      <c r="J40" s="143"/>
    </row>
    <row r="41" spans="1:10" ht="15.75" x14ac:dyDescent="0.25">
      <c r="A41" s="144">
        <v>40</v>
      </c>
      <c r="B41" s="147">
        <f t="shared" si="4"/>
        <v>10925343.96264966</v>
      </c>
      <c r="C41" s="146">
        <v>0.15</v>
      </c>
      <c r="D41" s="144">
        <f t="shared" ref="D41:D61" si="5">+B41*C41/12</f>
        <v>136566.79953312073</v>
      </c>
      <c r="E41" s="147">
        <f t="shared" si="1"/>
        <v>458181.45262584754</v>
      </c>
      <c r="F41" s="147">
        <f t="shared" si="2"/>
        <v>594748.25215896824</v>
      </c>
      <c r="G41" s="147">
        <f t="shared" si="3"/>
        <v>10467162.510023812</v>
      </c>
      <c r="H41" s="143"/>
      <c r="I41" s="143"/>
      <c r="J41" s="143"/>
    </row>
    <row r="42" spans="1:10" ht="15.75" x14ac:dyDescent="0.25">
      <c r="A42" s="144">
        <v>41</v>
      </c>
      <c r="B42" s="147">
        <f t="shared" si="4"/>
        <v>10467162.510023812</v>
      </c>
      <c r="C42" s="146">
        <v>0.15</v>
      </c>
      <c r="D42" s="144">
        <f t="shared" si="5"/>
        <v>130839.53137529764</v>
      </c>
      <c r="E42" s="147">
        <f t="shared" si="1"/>
        <v>463908.72078367061</v>
      </c>
      <c r="F42" s="147">
        <f t="shared" si="2"/>
        <v>594748.25215896824</v>
      </c>
      <c r="G42" s="147">
        <f t="shared" si="3"/>
        <v>10003253.78924014</v>
      </c>
      <c r="H42" s="143"/>
      <c r="I42" s="143"/>
      <c r="J42" s="143"/>
    </row>
    <row r="43" spans="1:10" ht="15.75" x14ac:dyDescent="0.25">
      <c r="A43" s="144">
        <v>42</v>
      </c>
      <c r="B43" s="147">
        <f t="shared" si="4"/>
        <v>10003253.78924014</v>
      </c>
      <c r="C43" s="146">
        <v>0.15</v>
      </c>
      <c r="D43" s="144">
        <f t="shared" si="5"/>
        <v>125040.67236550176</v>
      </c>
      <c r="E43" s="147">
        <f t="shared" si="1"/>
        <v>469707.57979346649</v>
      </c>
      <c r="F43" s="147">
        <f t="shared" si="2"/>
        <v>594748.25215896824</v>
      </c>
      <c r="G43" s="147">
        <f t="shared" si="3"/>
        <v>9533546.2094466742</v>
      </c>
      <c r="H43" s="143"/>
      <c r="I43" s="143"/>
      <c r="J43" s="143"/>
    </row>
    <row r="44" spans="1:10" ht="15.75" x14ac:dyDescent="0.25">
      <c r="A44" s="144">
        <v>43</v>
      </c>
      <c r="B44" s="147">
        <f t="shared" si="4"/>
        <v>9533546.2094466742</v>
      </c>
      <c r="C44" s="146">
        <v>0.15</v>
      </c>
      <c r="D44" s="144">
        <f t="shared" si="5"/>
        <v>119169.32761808344</v>
      </c>
      <c r="E44" s="147">
        <f t="shared" si="1"/>
        <v>475578.92454088479</v>
      </c>
      <c r="F44" s="147">
        <f t="shared" si="2"/>
        <v>594748.25215896824</v>
      </c>
      <c r="G44" s="147">
        <f t="shared" si="3"/>
        <v>9057967.2849057894</v>
      </c>
      <c r="H44" s="143"/>
      <c r="I44" s="143"/>
      <c r="J44" s="143"/>
    </row>
    <row r="45" spans="1:10" ht="15.75" x14ac:dyDescent="0.25">
      <c r="A45" s="144">
        <v>44</v>
      </c>
      <c r="B45" s="147">
        <f t="shared" si="4"/>
        <v>9057967.2849057894</v>
      </c>
      <c r="C45" s="146">
        <v>0.15</v>
      </c>
      <c r="D45" s="144">
        <f t="shared" si="5"/>
        <v>113224.59106132237</v>
      </c>
      <c r="E45" s="147">
        <f t="shared" si="1"/>
        <v>481523.66109764588</v>
      </c>
      <c r="F45" s="147">
        <f t="shared" si="2"/>
        <v>594748.25215896824</v>
      </c>
      <c r="G45" s="147">
        <f t="shared" si="3"/>
        <v>8576443.6238081437</v>
      </c>
      <c r="H45" s="143"/>
      <c r="I45" s="143"/>
      <c r="J45" s="143"/>
    </row>
    <row r="46" spans="1:10" ht="15.75" x14ac:dyDescent="0.25">
      <c r="A46" s="144">
        <v>45</v>
      </c>
      <c r="B46" s="147">
        <f t="shared" si="4"/>
        <v>8576443.6238081437</v>
      </c>
      <c r="C46" s="146">
        <v>0.15</v>
      </c>
      <c r="D46" s="144">
        <f t="shared" si="5"/>
        <v>107205.54529760178</v>
      </c>
      <c r="E46" s="147">
        <f t="shared" si="1"/>
        <v>487542.70686136646</v>
      </c>
      <c r="F46" s="147">
        <f t="shared" si="2"/>
        <v>594748.25215896824</v>
      </c>
      <c r="G46" s="147">
        <f t="shared" si="3"/>
        <v>8088900.9169467771</v>
      </c>
      <c r="H46" s="143"/>
      <c r="I46" s="143"/>
      <c r="J46" s="143"/>
    </row>
    <row r="47" spans="1:10" ht="15.75" x14ac:dyDescent="0.25">
      <c r="A47" s="144">
        <v>46</v>
      </c>
      <c r="B47" s="147">
        <f t="shared" si="4"/>
        <v>8088900.9169467771</v>
      </c>
      <c r="C47" s="146">
        <v>0.15</v>
      </c>
      <c r="D47" s="144">
        <f t="shared" si="5"/>
        <v>101111.26146183471</v>
      </c>
      <c r="E47" s="147">
        <f t="shared" si="1"/>
        <v>493636.99069713353</v>
      </c>
      <c r="F47" s="147">
        <f t="shared" si="2"/>
        <v>594748.25215896824</v>
      </c>
      <c r="G47" s="147">
        <f t="shared" si="3"/>
        <v>7595263.9262496438</v>
      </c>
      <c r="H47" s="143"/>
      <c r="I47" s="143"/>
      <c r="J47" s="143"/>
    </row>
    <row r="48" spans="1:10" ht="15.75" x14ac:dyDescent="0.25">
      <c r="A48" s="144">
        <v>47</v>
      </c>
      <c r="B48" s="147">
        <f t="shared" si="4"/>
        <v>7595263.9262496438</v>
      </c>
      <c r="C48" s="146">
        <v>0.15</v>
      </c>
      <c r="D48" s="144">
        <f t="shared" si="5"/>
        <v>94940.799078120544</v>
      </c>
      <c r="E48" s="147">
        <f t="shared" si="1"/>
        <v>499807.45308084768</v>
      </c>
      <c r="F48" s="147">
        <f t="shared" si="2"/>
        <v>594748.25215896824</v>
      </c>
      <c r="G48" s="147">
        <f t="shared" si="3"/>
        <v>7095456.4731687959</v>
      </c>
      <c r="H48" s="143"/>
      <c r="I48" s="143"/>
      <c r="J48" s="143"/>
    </row>
    <row r="49" spans="1:10" ht="15.75" x14ac:dyDescent="0.25">
      <c r="A49" s="144">
        <v>48</v>
      </c>
      <c r="B49" s="147">
        <f t="shared" si="4"/>
        <v>7095456.4731687959</v>
      </c>
      <c r="C49" s="146">
        <v>0.15</v>
      </c>
      <c r="D49" s="144">
        <f t="shared" si="5"/>
        <v>88693.205914609949</v>
      </c>
      <c r="E49" s="147">
        <f t="shared" si="1"/>
        <v>506055.04624435829</v>
      </c>
      <c r="F49" s="147">
        <f t="shared" si="2"/>
        <v>594748.25215896824</v>
      </c>
      <c r="G49" s="147">
        <f t="shared" si="3"/>
        <v>6589401.4269244373</v>
      </c>
      <c r="H49" s="143"/>
      <c r="I49" s="143"/>
      <c r="J49" s="143"/>
    </row>
    <row r="50" spans="1:10" ht="15.75" x14ac:dyDescent="0.25">
      <c r="A50" s="144">
        <v>49</v>
      </c>
      <c r="B50" s="147">
        <f t="shared" si="4"/>
        <v>6589401.4269244373</v>
      </c>
      <c r="C50" s="146">
        <v>0.15</v>
      </c>
      <c r="D50" s="144">
        <f t="shared" si="5"/>
        <v>82367.51783655546</v>
      </c>
      <c r="E50" s="147">
        <f t="shared" si="1"/>
        <v>512380.73432241275</v>
      </c>
      <c r="F50" s="147">
        <f t="shared" si="2"/>
        <v>594748.25215896824</v>
      </c>
      <c r="G50" s="147">
        <f t="shared" si="3"/>
        <v>6077020.6926020244</v>
      </c>
      <c r="H50" s="143"/>
      <c r="I50" s="143"/>
      <c r="J50" s="143"/>
    </row>
    <row r="51" spans="1:10" ht="15.75" x14ac:dyDescent="0.25">
      <c r="A51" s="144">
        <v>50</v>
      </c>
      <c r="B51" s="147">
        <f t="shared" si="4"/>
        <v>6077020.6926020244</v>
      </c>
      <c r="C51" s="146">
        <v>0.15</v>
      </c>
      <c r="D51" s="144">
        <f t="shared" si="5"/>
        <v>75962.758657525308</v>
      </c>
      <c r="E51" s="147">
        <f t="shared" si="1"/>
        <v>518785.49350144295</v>
      </c>
      <c r="F51" s="147">
        <f t="shared" si="2"/>
        <v>594748.25215896824</v>
      </c>
      <c r="G51" s="147">
        <f t="shared" si="3"/>
        <v>5558235.1991005819</v>
      </c>
      <c r="H51" s="143"/>
      <c r="I51" s="143"/>
      <c r="J51" s="143"/>
    </row>
    <row r="52" spans="1:10" ht="15.75" x14ac:dyDescent="0.25">
      <c r="A52" s="144">
        <v>51</v>
      </c>
      <c r="B52" s="147">
        <f t="shared" si="4"/>
        <v>5558235.1991005819</v>
      </c>
      <c r="C52" s="146">
        <v>0.15</v>
      </c>
      <c r="D52" s="144">
        <f t="shared" si="5"/>
        <v>69477.939988757265</v>
      </c>
      <c r="E52" s="147">
        <f t="shared" si="1"/>
        <v>525270.31217021099</v>
      </c>
      <c r="F52" s="147">
        <f t="shared" si="2"/>
        <v>594748.25215896824</v>
      </c>
      <c r="G52" s="147">
        <f t="shared" si="3"/>
        <v>5032964.8869303707</v>
      </c>
      <c r="H52" s="143"/>
      <c r="I52" s="143"/>
      <c r="J52" s="143"/>
    </row>
    <row r="53" spans="1:10" ht="15.75" x14ac:dyDescent="0.25">
      <c r="A53" s="144">
        <v>52</v>
      </c>
      <c r="B53" s="147">
        <f t="shared" si="4"/>
        <v>5032964.8869303707</v>
      </c>
      <c r="C53" s="146">
        <v>0.15</v>
      </c>
      <c r="D53" s="144">
        <f t="shared" si="5"/>
        <v>62912.061086629634</v>
      </c>
      <c r="E53" s="147">
        <f t="shared" si="1"/>
        <v>531836.19107233861</v>
      </c>
      <c r="F53" s="147">
        <f t="shared" si="2"/>
        <v>594748.25215896824</v>
      </c>
      <c r="G53" s="147">
        <f t="shared" si="3"/>
        <v>4501128.6958580324</v>
      </c>
      <c r="H53" s="143"/>
      <c r="I53" s="143"/>
      <c r="J53" s="143"/>
    </row>
    <row r="54" spans="1:10" ht="15.75" x14ac:dyDescent="0.25">
      <c r="A54" s="144">
        <v>53</v>
      </c>
      <c r="B54" s="147">
        <f t="shared" si="4"/>
        <v>4501128.6958580324</v>
      </c>
      <c r="C54" s="146">
        <v>0.15</v>
      </c>
      <c r="D54" s="144">
        <f t="shared" si="5"/>
        <v>56264.108698225406</v>
      </c>
      <c r="E54" s="147">
        <f t="shared" si="1"/>
        <v>538484.1434607429</v>
      </c>
      <c r="F54" s="147">
        <f t="shared" si="2"/>
        <v>594748.25215896824</v>
      </c>
      <c r="G54" s="147">
        <f t="shared" si="3"/>
        <v>3962644.5523972893</v>
      </c>
      <c r="H54" s="143"/>
      <c r="I54" s="143"/>
      <c r="J54" s="143"/>
    </row>
    <row r="55" spans="1:10" ht="15.75" x14ac:dyDescent="0.25">
      <c r="A55" s="144">
        <v>54</v>
      </c>
      <c r="B55" s="147">
        <f t="shared" si="4"/>
        <v>3962644.5523972893</v>
      </c>
      <c r="C55" s="146">
        <v>0.15</v>
      </c>
      <c r="D55" s="144">
        <f t="shared" si="5"/>
        <v>49533.056904966121</v>
      </c>
      <c r="E55" s="147">
        <f t="shared" si="1"/>
        <v>545215.19525400212</v>
      </c>
      <c r="F55" s="147">
        <f t="shared" si="2"/>
        <v>594748.25215896824</v>
      </c>
      <c r="G55" s="147">
        <f t="shared" si="3"/>
        <v>3417429.3571432871</v>
      </c>
      <c r="H55" s="143"/>
      <c r="I55" s="143"/>
      <c r="J55" s="143"/>
    </row>
    <row r="56" spans="1:10" ht="15.75" x14ac:dyDescent="0.25">
      <c r="A56" s="144">
        <v>55</v>
      </c>
      <c r="B56" s="147">
        <f t="shared" si="4"/>
        <v>3417429.3571432871</v>
      </c>
      <c r="C56" s="146">
        <v>0.15</v>
      </c>
      <c r="D56" s="144">
        <f t="shared" si="5"/>
        <v>42717.86696429109</v>
      </c>
      <c r="E56" s="147">
        <f t="shared" si="1"/>
        <v>552030.38519467716</v>
      </c>
      <c r="F56" s="147">
        <f t="shared" si="2"/>
        <v>594748.25215896824</v>
      </c>
      <c r="G56" s="147">
        <f t="shared" si="3"/>
        <v>2865398.9719486097</v>
      </c>
      <c r="H56" s="143"/>
      <c r="I56" s="143"/>
      <c r="J56" s="143"/>
    </row>
    <row r="57" spans="1:10" ht="15.75" x14ac:dyDescent="0.25">
      <c r="A57" s="144">
        <v>56</v>
      </c>
      <c r="B57" s="147">
        <f t="shared" si="4"/>
        <v>2865398.9719486097</v>
      </c>
      <c r="C57" s="146">
        <v>0.15</v>
      </c>
      <c r="D57" s="144">
        <f t="shared" si="5"/>
        <v>35817.487149357621</v>
      </c>
      <c r="E57" s="147">
        <f t="shared" si="1"/>
        <v>558930.76500961068</v>
      </c>
      <c r="F57" s="147">
        <f t="shared" si="2"/>
        <v>594748.25215896824</v>
      </c>
      <c r="G57" s="147">
        <f t="shared" si="3"/>
        <v>2306468.2069389988</v>
      </c>
      <c r="H57" s="143"/>
      <c r="I57" s="143"/>
      <c r="J57" s="143"/>
    </row>
    <row r="58" spans="1:10" ht="15.75" x14ac:dyDescent="0.25">
      <c r="A58" s="144">
        <v>57</v>
      </c>
      <c r="B58" s="147">
        <f t="shared" si="4"/>
        <v>2306468.2069389988</v>
      </c>
      <c r="C58" s="146">
        <v>0.15</v>
      </c>
      <c r="D58" s="144">
        <f t="shared" si="5"/>
        <v>28830.852586737485</v>
      </c>
      <c r="E58" s="147">
        <f t="shared" si="1"/>
        <v>565917.39957223076</v>
      </c>
      <c r="F58" s="147">
        <f t="shared" si="2"/>
        <v>594748.25215896824</v>
      </c>
      <c r="G58" s="147">
        <f t="shared" si="3"/>
        <v>1740550.8073667679</v>
      </c>
      <c r="H58" s="143"/>
      <c r="I58" s="143"/>
      <c r="J58" s="143"/>
    </row>
    <row r="59" spans="1:10" ht="15.75" x14ac:dyDescent="0.25">
      <c r="A59" s="144">
        <v>58</v>
      </c>
      <c r="B59" s="147">
        <f t="shared" si="4"/>
        <v>1740550.8073667679</v>
      </c>
      <c r="C59" s="146">
        <v>0.15</v>
      </c>
      <c r="D59" s="144">
        <f t="shared" si="5"/>
        <v>21756.885092084598</v>
      </c>
      <c r="E59" s="147">
        <f t="shared" si="1"/>
        <v>572991.3670668836</v>
      </c>
      <c r="F59" s="147">
        <f t="shared" si="2"/>
        <v>594748.25215896824</v>
      </c>
      <c r="G59" s="147">
        <f t="shared" si="3"/>
        <v>1167559.4402998844</v>
      </c>
      <c r="H59" s="143"/>
      <c r="I59" s="143"/>
      <c r="J59" s="143"/>
    </row>
    <row r="60" spans="1:10" ht="15.75" x14ac:dyDescent="0.25">
      <c r="A60" s="144">
        <v>59</v>
      </c>
      <c r="B60" s="147">
        <f t="shared" si="4"/>
        <v>1167559.4402998844</v>
      </c>
      <c r="C60" s="146">
        <v>0.15</v>
      </c>
      <c r="D60" s="144">
        <f t="shared" si="5"/>
        <v>14594.493003748554</v>
      </c>
      <c r="E60" s="147">
        <f t="shared" si="1"/>
        <v>580153.75915521965</v>
      </c>
      <c r="F60" s="147">
        <f t="shared" si="2"/>
        <v>594748.25215896824</v>
      </c>
      <c r="G60" s="147">
        <f t="shared" si="3"/>
        <v>587405.68114466476</v>
      </c>
      <c r="H60" s="143"/>
      <c r="I60" s="143"/>
      <c r="J60" s="143"/>
    </row>
    <row r="61" spans="1:10" ht="15.75" x14ac:dyDescent="0.25">
      <c r="A61" s="144">
        <v>60</v>
      </c>
      <c r="B61" s="147">
        <f t="shared" si="4"/>
        <v>587405.68114466476</v>
      </c>
      <c r="C61" s="146">
        <v>0.15</v>
      </c>
      <c r="D61" s="144">
        <f t="shared" si="5"/>
        <v>7342.5710143083088</v>
      </c>
      <c r="E61" s="147">
        <f t="shared" si="1"/>
        <v>587405.68114465999</v>
      </c>
      <c r="F61" s="147">
        <f t="shared" si="2"/>
        <v>594748.25215896824</v>
      </c>
      <c r="G61" s="147">
        <f t="shared" si="3"/>
        <v>4.7730281949043274E-9</v>
      </c>
      <c r="H61" s="143"/>
      <c r="I61" s="143"/>
      <c r="J61" s="143"/>
    </row>
  </sheetData>
  <mergeCells count="1">
    <mergeCell ref="I1:J1"/>
  </mergeCell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outlinePr summaryBelow="0" summaryRight="0"/>
  </sheetPr>
  <dimension ref="A1:F19"/>
  <sheetViews>
    <sheetView workbookViewId="0"/>
  </sheetViews>
  <sheetFormatPr baseColWidth="10" defaultColWidth="11.21875" defaultRowHeight="15" customHeight="1" x14ac:dyDescent="0.2"/>
  <cols>
    <col min="1" max="1" width="33.109375" customWidth="1"/>
    <col min="2" max="4" width="13.77734375" customWidth="1"/>
    <col min="5" max="5" width="24.44140625" customWidth="1"/>
  </cols>
  <sheetData>
    <row r="1" spans="1:6" ht="33.75" customHeight="1" x14ac:dyDescent="0.25">
      <c r="A1" s="151" t="s">
        <v>2</v>
      </c>
      <c r="B1" s="151" t="s">
        <v>4</v>
      </c>
      <c r="C1" s="151" t="s">
        <v>230</v>
      </c>
      <c r="D1" s="151" t="s">
        <v>231</v>
      </c>
      <c r="E1" s="151" t="s">
        <v>232</v>
      </c>
      <c r="F1" s="81"/>
    </row>
    <row r="2" spans="1:6" x14ac:dyDescent="0.2">
      <c r="A2" s="152" t="s">
        <v>5</v>
      </c>
      <c r="B2" s="153">
        <f>'Inversión  Inicial'!C3</f>
        <v>575000</v>
      </c>
      <c r="C2" s="154">
        <v>15</v>
      </c>
      <c r="D2" s="154">
        <v>200000</v>
      </c>
      <c r="E2" s="155">
        <f t="shared" ref="E2:E18" si="0">(B2-D2)/(C2)</f>
        <v>25000</v>
      </c>
    </row>
    <row r="3" spans="1:6" x14ac:dyDescent="0.2">
      <c r="A3" s="154" t="s">
        <v>7</v>
      </c>
      <c r="B3" s="153">
        <f>'Inversión  Inicial'!C4</f>
        <v>2300000</v>
      </c>
      <c r="C3" s="154">
        <v>15</v>
      </c>
      <c r="D3" s="154">
        <v>1000000</v>
      </c>
      <c r="E3" s="155">
        <f t="shared" si="0"/>
        <v>86666.666666666672</v>
      </c>
    </row>
    <row r="4" spans="1:6" x14ac:dyDescent="0.2">
      <c r="A4" s="154" t="s">
        <v>8</v>
      </c>
      <c r="B4" s="153">
        <f>'Inversión  Inicial'!C5</f>
        <v>7187500</v>
      </c>
      <c r="C4" s="154">
        <v>15</v>
      </c>
      <c r="D4" s="154">
        <v>2500000</v>
      </c>
      <c r="E4" s="155">
        <f t="shared" si="0"/>
        <v>312500</v>
      </c>
    </row>
    <row r="5" spans="1:6" x14ac:dyDescent="0.2">
      <c r="A5" s="154" t="s">
        <v>9</v>
      </c>
      <c r="B5" s="153">
        <f>'Inversión  Inicial'!C6</f>
        <v>123050</v>
      </c>
      <c r="C5" s="154">
        <v>15</v>
      </c>
      <c r="D5" s="154">
        <v>25000</v>
      </c>
      <c r="E5" s="155">
        <f t="shared" si="0"/>
        <v>6536.666666666667</v>
      </c>
    </row>
    <row r="6" spans="1:6" x14ac:dyDescent="0.2">
      <c r="A6" s="154" t="s">
        <v>10</v>
      </c>
      <c r="B6" s="153">
        <f>'Inversión  Inicial'!C7</f>
        <v>2875000</v>
      </c>
      <c r="C6" s="154">
        <v>15</v>
      </c>
      <c r="D6" s="154">
        <v>1000000</v>
      </c>
      <c r="E6" s="155">
        <f t="shared" si="0"/>
        <v>125000</v>
      </c>
    </row>
    <row r="7" spans="1:6" x14ac:dyDescent="0.2">
      <c r="A7" s="154" t="s">
        <v>11</v>
      </c>
      <c r="B7" s="153">
        <f>'Inversión  Inicial'!C8</f>
        <v>4600000</v>
      </c>
      <c r="C7" s="154">
        <v>15</v>
      </c>
      <c r="D7" s="154">
        <v>2000000</v>
      </c>
      <c r="E7" s="155">
        <f t="shared" si="0"/>
        <v>173333.33333333334</v>
      </c>
    </row>
    <row r="8" spans="1:6" x14ac:dyDescent="0.2">
      <c r="A8" s="154" t="s">
        <v>12</v>
      </c>
      <c r="B8" s="153">
        <f>'Inversión  Inicial'!C9</f>
        <v>1150000</v>
      </c>
      <c r="C8" s="154">
        <v>15</v>
      </c>
      <c r="D8" s="154">
        <v>100000</v>
      </c>
      <c r="E8" s="155">
        <f t="shared" si="0"/>
        <v>70000</v>
      </c>
    </row>
    <row r="9" spans="1:6" x14ac:dyDescent="0.2">
      <c r="A9" s="154" t="s">
        <v>13</v>
      </c>
      <c r="B9" s="153">
        <f>'Inversión  Inicial'!C10</f>
        <v>125000</v>
      </c>
      <c r="C9" s="154">
        <v>20</v>
      </c>
      <c r="D9" s="154">
        <v>15000</v>
      </c>
      <c r="E9" s="155">
        <f t="shared" si="0"/>
        <v>5500</v>
      </c>
    </row>
    <row r="10" spans="1:6" x14ac:dyDescent="0.2">
      <c r="A10" s="154" t="s">
        <v>14</v>
      </c>
      <c r="B10" s="153">
        <f>'Inversión  Inicial'!C11</f>
        <v>50000</v>
      </c>
      <c r="C10" s="154">
        <v>20</v>
      </c>
      <c r="D10" s="154">
        <v>5000</v>
      </c>
      <c r="E10" s="155">
        <f t="shared" si="0"/>
        <v>2250</v>
      </c>
    </row>
    <row r="11" spans="1:6" x14ac:dyDescent="0.2">
      <c r="A11" s="154" t="s">
        <v>16</v>
      </c>
      <c r="B11" s="153">
        <f>'Inversión  Inicial'!C12</f>
        <v>100000</v>
      </c>
      <c r="C11" s="154">
        <v>25</v>
      </c>
      <c r="D11" s="154">
        <v>15000</v>
      </c>
      <c r="E11" s="155">
        <f t="shared" si="0"/>
        <v>3400</v>
      </c>
    </row>
    <row r="12" spans="1:6" x14ac:dyDescent="0.2">
      <c r="A12" s="154" t="s">
        <v>17</v>
      </c>
      <c r="B12" s="153">
        <f>'Inversión  Inicial'!C13</f>
        <v>600000</v>
      </c>
      <c r="C12" s="154">
        <v>10</v>
      </c>
      <c r="D12" s="154">
        <v>100000</v>
      </c>
      <c r="E12" s="155">
        <f t="shared" si="0"/>
        <v>50000</v>
      </c>
    </row>
    <row r="13" spans="1:6" x14ac:dyDescent="0.2">
      <c r="A13" s="154" t="s">
        <v>18</v>
      </c>
      <c r="B13" s="153">
        <f>'Inversión  Inicial'!C14</f>
        <v>200000</v>
      </c>
      <c r="C13" s="154">
        <v>10</v>
      </c>
      <c r="D13" s="154">
        <v>25000</v>
      </c>
      <c r="E13" s="155">
        <f t="shared" si="0"/>
        <v>17500</v>
      </c>
    </row>
    <row r="14" spans="1:6" x14ac:dyDescent="0.2">
      <c r="A14" s="154" t="s">
        <v>19</v>
      </c>
      <c r="B14" s="153">
        <f>'Inversión  Inicial'!C15</f>
        <v>100000</v>
      </c>
      <c r="C14" s="154">
        <v>15</v>
      </c>
      <c r="D14" s="154">
        <v>20000</v>
      </c>
      <c r="E14" s="155">
        <f t="shared" si="0"/>
        <v>5333.333333333333</v>
      </c>
    </row>
    <row r="15" spans="1:6" x14ac:dyDescent="0.2">
      <c r="A15" s="154" t="s">
        <v>20</v>
      </c>
      <c r="B15" s="153">
        <f>'Inversión  Inicial'!C16</f>
        <v>40000</v>
      </c>
      <c r="C15" s="154">
        <v>10</v>
      </c>
      <c r="D15" s="154">
        <v>5000</v>
      </c>
      <c r="E15" s="155">
        <f t="shared" si="0"/>
        <v>3500</v>
      </c>
    </row>
    <row r="16" spans="1:6" x14ac:dyDescent="0.2">
      <c r="A16" s="154" t="s">
        <v>21</v>
      </c>
      <c r="B16" s="153">
        <f>'Inversión  Inicial'!C17</f>
        <v>70000</v>
      </c>
      <c r="C16" s="154">
        <v>10</v>
      </c>
      <c r="D16" s="154">
        <v>15000</v>
      </c>
      <c r="E16" s="155">
        <f t="shared" si="0"/>
        <v>5500</v>
      </c>
    </row>
    <row r="17" spans="1:5" x14ac:dyDescent="0.2">
      <c r="A17" s="154" t="s">
        <v>22</v>
      </c>
      <c r="B17" s="153">
        <f>'Inversión  Inicial'!C18</f>
        <v>56000</v>
      </c>
      <c r="C17" s="154">
        <v>10</v>
      </c>
      <c r="D17" s="154">
        <v>15000</v>
      </c>
      <c r="E17" s="155">
        <f t="shared" si="0"/>
        <v>4100</v>
      </c>
    </row>
    <row r="18" spans="1:5" x14ac:dyDescent="0.2">
      <c r="A18" s="154" t="s">
        <v>23</v>
      </c>
      <c r="B18" s="153">
        <f>'Inversión  Inicial'!C19</f>
        <v>18000000</v>
      </c>
      <c r="C18" s="154">
        <v>25</v>
      </c>
      <c r="D18" s="154">
        <v>2500000</v>
      </c>
      <c r="E18" s="155">
        <f t="shared" si="0"/>
        <v>620000</v>
      </c>
    </row>
    <row r="19" spans="1:5" ht="15.75" x14ac:dyDescent="0.25">
      <c r="A19" s="156" t="s">
        <v>56</v>
      </c>
      <c r="B19" s="156"/>
      <c r="C19" s="156"/>
      <c r="D19" s="156"/>
      <c r="E19" s="157">
        <f>SUM(E2:E18)</f>
        <v>1516120</v>
      </c>
    </row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outlinePr summaryBelow="0" summaryRight="0"/>
  </sheetPr>
  <dimension ref="C4:I14"/>
  <sheetViews>
    <sheetView workbookViewId="0">
      <selection activeCell="F11" sqref="F11"/>
    </sheetView>
  </sheetViews>
  <sheetFormatPr baseColWidth="10" defaultColWidth="11.21875" defaultRowHeight="15" customHeight="1" x14ac:dyDescent="0.2"/>
  <cols>
    <col min="1" max="2" width="11.21875" style="159"/>
    <col min="3" max="3" width="15.5546875" style="159" customWidth="1"/>
    <col min="4" max="4" width="19.44140625" style="159" customWidth="1"/>
    <col min="5" max="5" width="13.109375" style="159" customWidth="1"/>
    <col min="6" max="6" width="17.6640625" style="159" customWidth="1"/>
    <col min="7" max="7" width="16" style="159" customWidth="1"/>
    <col min="8" max="8" width="23.33203125" style="159" customWidth="1"/>
    <col min="9" max="9" width="17.109375" style="159" customWidth="1"/>
    <col min="10" max="16384" width="11.21875" style="159"/>
  </cols>
  <sheetData>
    <row r="4" spans="3:9" x14ac:dyDescent="0.25">
      <c r="C4" s="158"/>
      <c r="F4" s="158"/>
      <c r="G4" s="158"/>
      <c r="H4" s="158"/>
    </row>
    <row r="5" spans="3:9" x14ac:dyDescent="0.25">
      <c r="C5" s="160" t="s">
        <v>233</v>
      </c>
      <c r="D5" s="161" t="s">
        <v>3</v>
      </c>
      <c r="E5" s="161" t="s">
        <v>234</v>
      </c>
      <c r="F5" s="161" t="s">
        <v>235</v>
      </c>
      <c r="G5" s="162" t="s">
        <v>236</v>
      </c>
      <c r="H5" s="163" t="s">
        <v>237</v>
      </c>
      <c r="I5" s="163" t="s">
        <v>238</v>
      </c>
    </row>
    <row r="6" spans="3:9" x14ac:dyDescent="0.25">
      <c r="C6" s="164" t="s">
        <v>71</v>
      </c>
      <c r="D6" s="165" t="s">
        <v>239</v>
      </c>
      <c r="E6" s="178">
        <v>22000</v>
      </c>
      <c r="F6" s="165" t="s">
        <v>240</v>
      </c>
      <c r="G6" s="166" t="s">
        <v>241</v>
      </c>
      <c r="H6" s="167" t="s">
        <v>242</v>
      </c>
      <c r="I6" s="168" t="s">
        <v>243</v>
      </c>
    </row>
    <row r="7" spans="3:9" x14ac:dyDescent="0.25">
      <c r="C7" s="164" t="s">
        <v>73</v>
      </c>
      <c r="D7" s="165" t="s">
        <v>244</v>
      </c>
      <c r="E7" s="178">
        <v>26235</v>
      </c>
      <c r="F7" s="165" t="s">
        <v>245</v>
      </c>
      <c r="G7" s="166" t="s">
        <v>246</v>
      </c>
      <c r="H7" s="169" t="s">
        <v>247</v>
      </c>
      <c r="I7" s="170" t="s">
        <v>248</v>
      </c>
    </row>
    <row r="8" spans="3:9" x14ac:dyDescent="0.25">
      <c r="C8" s="164" t="s">
        <v>77</v>
      </c>
      <c r="D8" s="165" t="s">
        <v>249</v>
      </c>
      <c r="E8" s="178">
        <v>58730</v>
      </c>
      <c r="F8" s="165" t="s">
        <v>250</v>
      </c>
      <c r="G8" s="166" t="s">
        <v>251</v>
      </c>
      <c r="H8" s="170" t="s">
        <v>252</v>
      </c>
      <c r="I8" s="171" t="s">
        <v>253</v>
      </c>
    </row>
    <row r="9" spans="3:9" x14ac:dyDescent="0.25">
      <c r="C9" s="164" t="s">
        <v>75</v>
      </c>
      <c r="D9" s="165" t="s">
        <v>254</v>
      </c>
      <c r="E9" s="178">
        <v>1700</v>
      </c>
      <c r="F9" s="165" t="s">
        <v>255</v>
      </c>
      <c r="G9" s="166" t="s">
        <v>251</v>
      </c>
      <c r="H9" s="172" t="s">
        <v>256</v>
      </c>
      <c r="I9" s="170" t="s">
        <v>253</v>
      </c>
    </row>
    <row r="10" spans="3:9" x14ac:dyDescent="0.25">
      <c r="C10" s="164" t="s">
        <v>257</v>
      </c>
      <c r="D10" s="165" t="s">
        <v>258</v>
      </c>
      <c r="E10" s="178">
        <v>5750</v>
      </c>
      <c r="F10" s="165" t="s">
        <v>259</v>
      </c>
      <c r="G10" s="166" t="s">
        <v>241</v>
      </c>
      <c r="H10" s="170" t="s">
        <v>260</v>
      </c>
      <c r="I10" s="170" t="s">
        <v>261</v>
      </c>
    </row>
    <row r="11" spans="3:9" x14ac:dyDescent="0.25">
      <c r="C11" s="164" t="s">
        <v>81</v>
      </c>
      <c r="D11" s="165" t="s">
        <v>262</v>
      </c>
      <c r="E11" s="178">
        <v>25953</v>
      </c>
      <c r="F11" s="165" t="s">
        <v>263</v>
      </c>
      <c r="G11" s="166" t="s">
        <v>246</v>
      </c>
      <c r="H11" s="173" t="s">
        <v>264</v>
      </c>
      <c r="I11" s="174" t="s">
        <v>265</v>
      </c>
    </row>
    <row r="12" spans="3:9" x14ac:dyDescent="0.25">
      <c r="C12" s="164" t="s">
        <v>88</v>
      </c>
      <c r="D12" s="165" t="s">
        <v>266</v>
      </c>
      <c r="E12" s="178">
        <v>2275</v>
      </c>
      <c r="F12" s="165" t="s">
        <v>267</v>
      </c>
      <c r="G12" s="166" t="s">
        <v>268</v>
      </c>
      <c r="H12" s="175" t="s">
        <v>269</v>
      </c>
      <c r="I12" s="170" t="s">
        <v>270</v>
      </c>
    </row>
    <row r="13" spans="3:9" x14ac:dyDescent="0.25">
      <c r="C13" s="164" t="s">
        <v>93</v>
      </c>
      <c r="D13" s="176" t="s">
        <v>271</v>
      </c>
      <c r="E13" s="178">
        <v>31200</v>
      </c>
      <c r="F13" s="165" t="s">
        <v>272</v>
      </c>
      <c r="G13" s="166" t="s">
        <v>246</v>
      </c>
      <c r="H13" s="170" t="s">
        <v>273</v>
      </c>
      <c r="I13" s="171" t="s">
        <v>274</v>
      </c>
    </row>
    <row r="14" spans="3:9" x14ac:dyDescent="0.25">
      <c r="C14" s="158"/>
      <c r="D14" s="158"/>
      <c r="E14" s="158"/>
      <c r="F14" s="158"/>
    </row>
  </sheetData>
  <hyperlinks>
    <hyperlink ref="H7" r:id="rId1"/>
    <hyperlink ref="H12" r:id="rId2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W13"/>
  <sheetViews>
    <sheetView tabSelected="1" topLeftCell="D1" workbookViewId="0">
      <selection activeCell="J5" sqref="J5"/>
    </sheetView>
  </sheetViews>
  <sheetFormatPr baseColWidth="10" defaultRowHeight="15" x14ac:dyDescent="0.2"/>
  <cols>
    <col min="1" max="1" width="15.109375" customWidth="1"/>
    <col min="2" max="2" width="12.77734375" customWidth="1"/>
  </cols>
  <sheetData>
    <row r="1" spans="1:23" x14ac:dyDescent="0.2">
      <c r="A1" s="195" t="s">
        <v>240</v>
      </c>
      <c r="B1" s="195"/>
      <c r="D1" s="195" t="s">
        <v>245</v>
      </c>
      <c r="E1" s="195"/>
      <c r="G1" s="195" t="s">
        <v>250</v>
      </c>
      <c r="H1" s="195"/>
      <c r="J1" s="195" t="s">
        <v>255</v>
      </c>
      <c r="K1" s="195"/>
      <c r="M1" s="195" t="s">
        <v>259</v>
      </c>
      <c r="N1" s="195"/>
      <c r="P1" s="195" t="s">
        <v>263</v>
      </c>
      <c r="Q1" s="195"/>
      <c r="S1" s="195" t="s">
        <v>267</v>
      </c>
      <c r="T1" s="195"/>
      <c r="V1" s="195" t="s">
        <v>272</v>
      </c>
      <c r="W1" s="195"/>
    </row>
    <row r="2" spans="1:23" x14ac:dyDescent="0.2">
      <c r="A2" s="177" t="s">
        <v>3</v>
      </c>
      <c r="B2" s="177" t="s">
        <v>276</v>
      </c>
      <c r="D2" s="177" t="s">
        <v>3</v>
      </c>
      <c r="E2" s="177" t="s">
        <v>275</v>
      </c>
      <c r="G2" s="177" t="s">
        <v>3</v>
      </c>
      <c r="H2" s="177" t="s">
        <v>275</v>
      </c>
      <c r="J2" s="177">
        <v>10</v>
      </c>
      <c r="K2" s="177">
        <v>17000</v>
      </c>
      <c r="M2" s="177" t="s">
        <v>3</v>
      </c>
      <c r="N2" s="177" t="s">
        <v>275</v>
      </c>
      <c r="P2" s="177" t="s">
        <v>3</v>
      </c>
      <c r="Q2" s="177" t="s">
        <v>275</v>
      </c>
      <c r="S2" s="177" t="s">
        <v>3</v>
      </c>
      <c r="T2" s="177" t="s">
        <v>275</v>
      </c>
      <c r="V2" s="177" t="s">
        <v>3</v>
      </c>
      <c r="W2" s="177" t="s">
        <v>275</v>
      </c>
    </row>
    <row r="3" spans="1:23" x14ac:dyDescent="0.2">
      <c r="A3">
        <v>5</v>
      </c>
      <c r="B3">
        <v>110000</v>
      </c>
      <c r="D3">
        <v>5</v>
      </c>
      <c r="E3">
        <v>131175</v>
      </c>
      <c r="J3">
        <v>15</v>
      </c>
      <c r="K3">
        <v>25500</v>
      </c>
    </row>
    <row r="4" spans="1:23" x14ac:dyDescent="0.2">
      <c r="A4">
        <v>5</v>
      </c>
      <c r="B4">
        <v>110000</v>
      </c>
      <c r="D4">
        <v>15</v>
      </c>
      <c r="E4">
        <v>393525</v>
      </c>
      <c r="J4">
        <v>20</v>
      </c>
      <c r="K4">
        <v>34000</v>
      </c>
    </row>
    <row r="5" spans="1:23" x14ac:dyDescent="0.2">
      <c r="A5">
        <v>5</v>
      </c>
      <c r="B5">
        <v>110000</v>
      </c>
    </row>
    <row r="6" spans="1:23" x14ac:dyDescent="0.2">
      <c r="A6">
        <v>10</v>
      </c>
      <c r="B6">
        <v>220000</v>
      </c>
    </row>
    <row r="7" spans="1:23" x14ac:dyDescent="0.2">
      <c r="A7">
        <v>10</v>
      </c>
      <c r="B7">
        <v>220000</v>
      </c>
    </row>
    <row r="8" spans="1:23" x14ac:dyDescent="0.2">
      <c r="A8">
        <v>10</v>
      </c>
      <c r="B8">
        <v>220000</v>
      </c>
    </row>
    <row r="9" spans="1:23" x14ac:dyDescent="0.2">
      <c r="A9">
        <v>10</v>
      </c>
      <c r="B9">
        <v>220000</v>
      </c>
    </row>
    <row r="10" spans="1:23" x14ac:dyDescent="0.2">
      <c r="A10">
        <v>5</v>
      </c>
      <c r="B10">
        <v>110000</v>
      </c>
    </row>
    <row r="11" spans="1:23" x14ac:dyDescent="0.2">
      <c r="A11">
        <v>5</v>
      </c>
      <c r="B11">
        <v>110000</v>
      </c>
    </row>
    <row r="12" spans="1:23" x14ac:dyDescent="0.2">
      <c r="A12">
        <v>7</v>
      </c>
      <c r="B12">
        <v>154000</v>
      </c>
    </row>
    <row r="13" spans="1:23" x14ac:dyDescent="0.2">
      <c r="A13">
        <v>2</v>
      </c>
      <c r="B13">
        <v>44000</v>
      </c>
    </row>
  </sheetData>
  <mergeCells count="8">
    <mergeCell ref="S1:T1"/>
    <mergeCell ref="V1:W1"/>
    <mergeCell ref="A1:B1"/>
    <mergeCell ref="D1:E1"/>
    <mergeCell ref="G1:H1"/>
    <mergeCell ref="J1:K1"/>
    <mergeCell ref="M1:N1"/>
    <mergeCell ref="P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Mapa conceptual.</vt:lpstr>
      <vt:lpstr>Inversión  Inicial</vt:lpstr>
      <vt:lpstr>Planillas </vt:lpstr>
      <vt:lpstr>Costos fijos</vt:lpstr>
      <vt:lpstr>Proyección de gastos</vt:lpstr>
      <vt:lpstr>Costos variables de producción</vt:lpstr>
      <vt:lpstr>Proyección de ventas</vt:lpstr>
      <vt:lpstr>Flujo de efectivo año 1 </vt:lpstr>
      <vt:lpstr>Flujo de efectivo año 2</vt:lpstr>
      <vt:lpstr>Flujo de efectivo año 3</vt:lpstr>
      <vt:lpstr>Estados de Resultados </vt:lpstr>
      <vt:lpstr>VAN y TIR</vt:lpstr>
      <vt:lpstr>Amortizaciones </vt:lpstr>
      <vt:lpstr>Depreciaciones </vt:lpstr>
      <vt:lpstr>Red de Proveedores</vt:lpstr>
      <vt:lpstr>Pedidos 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Rodríguez</dc:creator>
  <cp:lastModifiedBy>Pablo</cp:lastModifiedBy>
  <dcterms:created xsi:type="dcterms:W3CDTF">2020-05-25T13:56:43Z</dcterms:created>
  <dcterms:modified xsi:type="dcterms:W3CDTF">2020-06-29T22:39:20Z</dcterms:modified>
</cp:coreProperties>
</file>